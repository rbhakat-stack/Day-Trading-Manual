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Journal" sheetId="2" state="visible" r:id="rId2"/>
    <sheet xmlns:r="http://schemas.openxmlformats.org/officeDocument/2006/relationships" name="Stats" sheetId="3" state="visible" r:id="rId3"/>
    <sheet xmlns:r="http://schemas.openxmlformats.org/officeDocument/2006/relationships" name="Siz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+0.00;-0.00;0.00"/>
    <numFmt numFmtId="166" formatCode="0.0%"/>
    <numFmt numFmtId="167" formatCode="+0.00;-0.00"/>
    <numFmt numFmtId="168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FFF2B3"/>
      </patternFill>
    </fill>
    <fill>
      <patternFill patternType="solid">
        <fgColor rgb="001F3A5F"/>
      </patternFill>
    </fill>
    <fill>
      <patternFill patternType="solid">
        <fgColor rgb="00EE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164" fontId="0" fillId="2" borderId="0" pivotButton="0" quotePrefix="0" xfId="0"/>
    <xf numFmtId="10" fontId="0" fillId="2" borderId="0" pivotButton="0" quotePrefix="0" xfId="0"/>
    <xf numFmtId="0" fontId="0" fillId="2" borderId="0" pivotButton="0" quotePrefix="0" xfId="0"/>
    <xf numFmtId="164" fontId="0" fillId="0" borderId="0" pivotButton="0" quotePrefix="0" xfId="0"/>
    <xf numFmtId="0" fontId="2" fillId="3" borderId="0" applyAlignment="1" pivotButton="0" quotePrefix="0" xfId="0">
      <alignment vertical="center" wrapText="1"/>
    </xf>
    <xf numFmtId="4" fontId="0" fillId="0" borderId="0" pivotButton="0" quotePrefix="0" xfId="0"/>
    <xf numFmtId="4" fontId="0" fillId="4" borderId="0" pivotButton="0" quotePrefix="0" xfId="0"/>
    <xf numFmtId="0" fontId="0" fillId="4" borderId="0" pivotButton="0" quotePrefix="0" xfId="0"/>
    <xf numFmtId="10" fontId="0" fillId="4" borderId="0" pivotButton="0" quotePrefix="0" xfId="0"/>
    <xf numFmtId="165" fontId="0" fillId="4" borderId="0" pivotButton="0" quotePrefix="0" xfId="0"/>
    <xf numFmtId="1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3" fillId="0" borderId="0" pivotButton="0" quotePrefix="0" xfId="0"/>
    <xf numFmtId="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</cols>
  <sheetData>
    <row r="1">
      <c r="A1" s="1" t="inlineStr">
        <is>
          <t>RB v1.1 settings (edit the yellow cells)</t>
        </is>
      </c>
    </row>
    <row r="3">
      <c r="A3" t="inlineStr">
        <is>
          <t>Current equity ($)</t>
        </is>
      </c>
      <c r="B3" s="2" t="n">
        <v>100000</v>
      </c>
    </row>
    <row r="4">
      <c r="A4" t="inlineStr">
        <is>
          <t>Risk per trade (% of equity)</t>
        </is>
      </c>
      <c r="B4" s="3" t="n">
        <v>0.0025</v>
      </c>
    </row>
    <row r="5">
      <c r="A5" t="inlineStr">
        <is>
          <t>Investment cap per ticker ($)</t>
        </is>
      </c>
      <c r="B5" s="2" t="n">
        <v>20000</v>
      </c>
    </row>
    <row r="6">
      <c r="A6" t="inlineStr">
        <is>
          <t>Target (R multiple)</t>
        </is>
      </c>
      <c r="B6" s="4" t="n">
        <v>2</v>
      </c>
    </row>
    <row r="7">
      <c r="A7" t="inlineStr">
        <is>
          <t>Minimum buffer ($)</t>
        </is>
      </c>
      <c r="B7" s="4" t="n">
        <v>0.01</v>
      </c>
    </row>
    <row r="8">
      <c r="A8" t="inlineStr">
        <is>
          <t>Buffer (% of signal high/low)</t>
        </is>
      </c>
      <c r="B8" s="3" t="n">
        <v>0.0002</v>
      </c>
    </row>
    <row r="9">
      <c r="A9" t="inlineStr">
        <is>
          <t>Minimum stop (ATR multiple)</t>
        </is>
      </c>
      <c r="B9" s="4" t="n">
        <v>1</v>
      </c>
    </row>
    <row r="11">
      <c r="A11" t="inlineStr">
        <is>
          <t>Dollar risk per trade ($R, a maximum)</t>
        </is>
      </c>
      <c r="B11" s="5">
        <f>B3*B4</f>
        <v/>
      </c>
    </row>
    <row r="12">
      <c r="A12" t="inlineStr">
        <is>
          <t>Hard rules (any fail = do not trade): LONG C&gt;O / SHORT C&lt;O; 09:45 &lt;= time &lt; 15:30 ET; last completed 15m Close vs EMA20;</t>
        </is>
      </c>
    </row>
    <row r="13">
      <c r="A13" t="inlineStr">
        <is>
          <t>not stale (10 min); not chased (&gt; 0.25 ATR past entry); price not through the stop; one position/order per ticker.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5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9" customWidth="1" min="3" max="3"/>
    <col width="8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8" customWidth="1" min="10" max="10"/>
    <col width="11" customWidth="1" min="11" max="11"/>
    <col width="11" customWidth="1" min="12" max="12"/>
    <col width="10" customWidth="1" min="13" max="13"/>
    <col width="12" customWidth="1" min="14" max="14"/>
    <col width="10" customWidth="1" min="15" max="15"/>
    <col width="10" customWidth="1" min="16" max="16"/>
    <col width="11" customWidth="1" min="17" max="17"/>
    <col width="11" customWidth="1" min="18" max="18"/>
    <col width="10" customWidth="1" min="19" max="19"/>
    <col width="10" customWidth="1" min="20" max="20"/>
    <col width="12" customWidth="1" min="21" max="21"/>
    <col width="10" customWidth="1" min="22" max="22"/>
    <col width="10" customWidth="1" min="23" max="23"/>
    <col width="9" customWidth="1" min="24" max="24"/>
    <col width="10" customWidth="1" min="25" max="25"/>
    <col width="8" customWidth="1" min="26" max="26"/>
    <col width="8" customWidth="1" min="27" max="27"/>
    <col width="9" customWidth="1" min="28" max="28"/>
    <col width="9" customWidth="1" min="29" max="29"/>
    <col width="7" customWidth="1" min="30" max="30"/>
    <col width="7" customWidth="1" min="31" max="31"/>
    <col width="9" customWidth="1" min="32" max="32"/>
    <col width="14" customWidth="1" min="33" max="33"/>
    <col width="9" customWidth="1" min="34" max="34"/>
    <col width="18" customWidth="1" min="35" max="35"/>
    <col width="18" customWidth="1" min="36" max="36"/>
    <col width="16" customWidth="1" min="37" max="37"/>
    <col width="10" customWidth="1" min="38" max="38"/>
    <col width="9" customWidth="1" min="39" max="39"/>
    <col width="14" customWidth="1" min="40" max="40"/>
    <col width="40" customWidth="1" min="41" max="41"/>
    <col width="9" customWidth="1" min="42" max="42"/>
    <col width="14" customWidth="1" min="43" max="43"/>
  </cols>
  <sheetData>
    <row r="1" ht="42" customHeight="1">
      <c r="A1" s="6" t="inlineStr">
        <is>
          <t>Trade ID</t>
        </is>
      </c>
      <c r="B1" s="6" t="inlineStr">
        <is>
          <t>Date</t>
        </is>
      </c>
      <c r="C1" s="6" t="inlineStr">
        <is>
          <t>Entry time</t>
        </is>
      </c>
      <c r="D1" s="6" t="inlineStr">
        <is>
          <t>Ticker</t>
        </is>
      </c>
      <c r="E1" s="6" t="inlineStr">
        <is>
          <t>Direction</t>
        </is>
      </c>
      <c r="F1" s="6" t="inlineStr">
        <is>
          <t>Alert time</t>
        </is>
      </c>
      <c r="G1" s="6" t="inlineStr">
        <is>
          <t>Exit time</t>
        </is>
      </c>
      <c r="H1" s="6" t="inlineStr">
        <is>
          <t>Signal high</t>
        </is>
      </c>
      <c r="I1" s="6" t="inlineStr">
        <is>
          <t>Signal low</t>
        </is>
      </c>
      <c r="J1" s="6" t="inlineStr">
        <is>
          <t>Buffer</t>
        </is>
      </c>
      <c r="K1" s="6" t="inlineStr">
        <is>
          <t>Planned entry</t>
        </is>
      </c>
      <c r="L1" s="6" t="inlineStr">
        <is>
          <t>Actual entry (fill)</t>
        </is>
      </c>
      <c r="M1" s="6" t="inlineStr">
        <is>
          <t>Stop</t>
        </is>
      </c>
      <c r="N1" s="6" t="inlineStr">
        <is>
          <t>Equity at entry</t>
        </is>
      </c>
      <c r="O1" s="6" t="inlineStr">
        <is>
          <t>R (risk/share)</t>
        </is>
      </c>
      <c r="P1" s="6" t="inlineStr">
        <is>
          <t>$R budget</t>
        </is>
      </c>
      <c r="Q1" s="6" t="inlineStr">
        <is>
          <t>Shares (min of risk &amp; cap)</t>
        </is>
      </c>
      <c r="R1" s="6" t="inlineStr">
        <is>
          <t>Planned $ risk</t>
        </is>
      </c>
      <c r="S1" s="6" t="inlineStr">
        <is>
          <t>Target (2R)</t>
        </is>
      </c>
      <c r="T1" s="6" t="inlineStr">
        <is>
          <t>Exit price</t>
        </is>
      </c>
      <c r="U1" s="6" t="inlineStr">
        <is>
          <t>Exit reason</t>
        </is>
      </c>
      <c r="V1" s="6" t="inlineStr">
        <is>
          <t>P/L $</t>
        </is>
      </c>
      <c r="W1" s="6" t="inlineStr">
        <is>
          <t>P/L % equity</t>
        </is>
      </c>
      <c r="X1" s="6" t="inlineStr">
        <is>
          <t>R result</t>
        </is>
      </c>
      <c r="Y1" s="6" t="inlineStr">
        <is>
          <t>Entry slippage $/sh</t>
        </is>
      </c>
      <c r="Z1" s="6" t="inlineStr">
        <is>
          <t>MFE (R)</t>
        </is>
      </c>
      <c r="AA1" s="6" t="inlineStr">
        <is>
          <t>MAE (R)</t>
        </is>
      </c>
      <c r="AB1" s="6" t="inlineStr">
        <is>
          <t>R at 30 min</t>
        </is>
      </c>
      <c r="AC1" s="6" t="inlineStr">
        <is>
          <t>Opportunity score /100</t>
        </is>
      </c>
      <c r="AD1" s="6" t="inlineStr">
        <is>
          <t>RVOL</t>
        </is>
      </c>
      <c r="AE1" s="6" t="inlineStr">
        <is>
          <t>RSI</t>
        </is>
      </c>
      <c r="AF1" s="6" t="inlineStr">
        <is>
          <t>VWAP dist (ATR)</t>
        </is>
      </c>
      <c r="AG1" s="6" t="inlineStr">
        <is>
          <t>EMA alignment / sep</t>
        </is>
      </c>
      <c r="AH1" s="6" t="inlineStr">
        <is>
          <t>15m confirm</t>
        </is>
      </c>
      <c r="AI1" s="6" t="inlineStr">
        <is>
          <t>Screenshot before</t>
        </is>
      </c>
      <c r="AJ1" s="6" t="inlineStr">
        <is>
          <t>Screenshot after</t>
        </is>
      </c>
      <c r="AK1" s="6" t="inlineStr">
        <is>
          <t>Market regime</t>
        </is>
      </c>
      <c r="AL1" s="6" t="inlineStr">
        <is>
          <t>News catalyst?</t>
        </is>
      </c>
      <c r="AM1" s="6" t="inlineStr">
        <is>
          <t>Followed rules?</t>
        </is>
      </c>
      <c r="AN1" s="6" t="inlineStr">
        <is>
          <t>Mistake</t>
        </is>
      </c>
      <c r="AO1" s="6" t="inlineStr">
        <is>
          <t>Notes</t>
        </is>
      </c>
      <c r="AP1" s="6" t="inlineStr">
        <is>
          <t>ATR(14) 5m</t>
        </is>
      </c>
      <c r="AQ1" s="6" t="inlineStr">
        <is>
          <t>Opportunity tier</t>
        </is>
      </c>
    </row>
    <row r="2">
      <c r="H2" s="7" t="n"/>
      <c r="I2" s="7" t="n"/>
      <c r="J2" s="8">
        <f>IF($E2="","",MAX(Settings!$B$7,ROUND(Settings!$B$8*IF($E2="LONG",H2,I2),2)))</f>
        <v/>
      </c>
      <c r="K2" s="8">
        <f>IF($E2="","",IF($E2="LONG",H2+J2,I2-J2))</f>
        <v/>
      </c>
      <c r="L2" s="7" t="n"/>
      <c r="M2" s="8">
        <f>IF($E2="","",IF($E2="LONG",K2-O2,K2+O2))</f>
        <v/>
      </c>
      <c r="N2" s="7" t="n"/>
      <c r="O2" s="8">
        <f>IF(OR($E2="",AP2=""),"",ROUNDUP(ROUND(MAX(IF($E2="LONG",K2-I2,H2-K2),Settings!$B$9*AP2),6),2))</f>
        <v/>
      </c>
      <c r="P2" s="8">
        <f>IF($E2="","",N2*Settings!$B$4)</f>
        <v/>
      </c>
      <c r="Q2" s="9">
        <f>IF(O2="","",MIN(INT(ROUND(P2/O2,6)),INT(ROUND(Settings!$B$5/K2,6))))</f>
        <v/>
      </c>
      <c r="R2" s="8">
        <f>IF(O2="","",Q2*O2)</f>
        <v/>
      </c>
      <c r="S2" s="8">
        <f>IF(O2="","",IF($E2="LONG",K2+Settings!$B$6*O2,K2-Settings!$B$6*O2))</f>
        <v/>
      </c>
      <c r="T2" s="7" t="n"/>
      <c r="V2" s="8">
        <f>IF(OR($E2="",T2=""),"",IF($E2="LONG",(T2-L2)*Q2,(L2-T2)*Q2))</f>
        <v/>
      </c>
      <c r="W2" s="10">
        <f>IF(V2="","",V2/N2)</f>
        <v/>
      </c>
      <c r="X2" s="11">
        <f>IF(V2="","",V2/R2)</f>
        <v/>
      </c>
      <c r="Y2" s="8">
        <f>IF(OR($E2="",L2=""),"",IF($E2="LONG",L2-K2,K2-L2))</f>
        <v/>
      </c>
      <c r="AP2" s="7" t="n"/>
    </row>
    <row r="3">
      <c r="H3" s="7" t="n"/>
      <c r="I3" s="7" t="n"/>
      <c r="J3" s="8">
        <f>IF($E3="","",MAX(Settings!$B$7,ROUND(Settings!$B$8*IF($E3="LONG",H3,I3),2)))</f>
        <v/>
      </c>
      <c r="K3" s="8">
        <f>IF($E3="","",IF($E3="LONG",H3+J3,I3-J3))</f>
        <v/>
      </c>
      <c r="L3" s="7" t="n"/>
      <c r="M3" s="8">
        <f>IF($E3="","",IF($E3="LONG",K3-O3,K3+O3))</f>
        <v/>
      </c>
      <c r="N3" s="7" t="n"/>
      <c r="O3" s="8">
        <f>IF(OR($E3="",AP3=""),"",ROUNDUP(ROUND(MAX(IF($E3="LONG",K3-I3,H3-K3),Settings!$B$9*AP3),6),2))</f>
        <v/>
      </c>
      <c r="P3" s="8">
        <f>IF($E3="","",N3*Settings!$B$4)</f>
        <v/>
      </c>
      <c r="Q3" s="9">
        <f>IF(O3="","",MIN(INT(ROUND(P3/O3,6)),INT(ROUND(Settings!$B$5/K3,6))))</f>
        <v/>
      </c>
      <c r="R3" s="8">
        <f>IF(O3="","",Q3*O3)</f>
        <v/>
      </c>
      <c r="S3" s="8">
        <f>IF(O3="","",IF($E3="LONG",K3+Settings!$B$6*O3,K3-Settings!$B$6*O3))</f>
        <v/>
      </c>
      <c r="T3" s="7" t="n"/>
      <c r="V3" s="8">
        <f>IF(OR($E3="",T3=""),"",IF($E3="LONG",(T3-L3)*Q3,(L3-T3)*Q3))</f>
        <v/>
      </c>
      <c r="W3" s="10">
        <f>IF(V3="","",V3/N3)</f>
        <v/>
      </c>
      <c r="X3" s="11">
        <f>IF(V3="","",V3/R3)</f>
        <v/>
      </c>
      <c r="Y3" s="8">
        <f>IF(OR($E3="",L3=""),"",IF($E3="LONG",L3-K3,K3-L3))</f>
        <v/>
      </c>
      <c r="AP3" s="7" t="n"/>
    </row>
    <row r="4">
      <c r="H4" s="7" t="n"/>
      <c r="I4" s="7" t="n"/>
      <c r="J4" s="8">
        <f>IF($E4="","",MAX(Settings!$B$7,ROUND(Settings!$B$8*IF($E4="LONG",H4,I4),2)))</f>
        <v/>
      </c>
      <c r="K4" s="8">
        <f>IF($E4="","",IF($E4="LONG",H4+J4,I4-J4))</f>
        <v/>
      </c>
      <c r="L4" s="7" t="n"/>
      <c r="M4" s="8">
        <f>IF($E4="","",IF($E4="LONG",K4-O4,K4+O4))</f>
        <v/>
      </c>
      <c r="N4" s="7" t="n"/>
      <c r="O4" s="8">
        <f>IF(OR($E4="",AP4=""),"",ROUNDUP(ROUND(MAX(IF($E4="LONG",K4-I4,H4-K4),Settings!$B$9*AP4),6),2))</f>
        <v/>
      </c>
      <c r="P4" s="8">
        <f>IF($E4="","",N4*Settings!$B$4)</f>
        <v/>
      </c>
      <c r="Q4" s="9">
        <f>IF(O4="","",MIN(INT(ROUND(P4/O4,6)),INT(ROUND(Settings!$B$5/K4,6))))</f>
        <v/>
      </c>
      <c r="R4" s="8">
        <f>IF(O4="","",Q4*O4)</f>
        <v/>
      </c>
      <c r="S4" s="8">
        <f>IF(O4="","",IF($E4="LONG",K4+Settings!$B$6*O4,K4-Settings!$B$6*O4))</f>
        <v/>
      </c>
      <c r="T4" s="7" t="n"/>
      <c r="V4" s="8">
        <f>IF(OR($E4="",T4=""),"",IF($E4="LONG",(T4-L4)*Q4,(L4-T4)*Q4))</f>
        <v/>
      </c>
      <c r="W4" s="10">
        <f>IF(V4="","",V4/N4)</f>
        <v/>
      </c>
      <c r="X4" s="11">
        <f>IF(V4="","",V4/R4)</f>
        <v/>
      </c>
      <c r="Y4" s="8">
        <f>IF(OR($E4="",L4=""),"",IF($E4="LONG",L4-K4,K4-L4))</f>
        <v/>
      </c>
      <c r="AP4" s="7" t="n"/>
    </row>
    <row r="5">
      <c r="H5" s="7" t="n"/>
      <c r="I5" s="7" t="n"/>
      <c r="J5" s="8">
        <f>IF($E5="","",MAX(Settings!$B$7,ROUND(Settings!$B$8*IF($E5="LONG",H5,I5),2)))</f>
        <v/>
      </c>
      <c r="K5" s="8">
        <f>IF($E5="","",IF($E5="LONG",H5+J5,I5-J5))</f>
        <v/>
      </c>
      <c r="L5" s="7" t="n"/>
      <c r="M5" s="8">
        <f>IF($E5="","",IF($E5="LONG",K5-O5,K5+O5))</f>
        <v/>
      </c>
      <c r="N5" s="7" t="n"/>
      <c r="O5" s="8">
        <f>IF(OR($E5="",AP5=""),"",ROUNDUP(ROUND(MAX(IF($E5="LONG",K5-I5,H5-K5),Settings!$B$9*AP5),6),2))</f>
        <v/>
      </c>
      <c r="P5" s="8">
        <f>IF($E5="","",N5*Settings!$B$4)</f>
        <v/>
      </c>
      <c r="Q5" s="9">
        <f>IF(O5="","",MIN(INT(ROUND(P5/O5,6)),INT(ROUND(Settings!$B$5/K5,6))))</f>
        <v/>
      </c>
      <c r="R5" s="8">
        <f>IF(O5="","",Q5*O5)</f>
        <v/>
      </c>
      <c r="S5" s="8">
        <f>IF(O5="","",IF($E5="LONG",K5+Settings!$B$6*O5,K5-Settings!$B$6*O5))</f>
        <v/>
      </c>
      <c r="T5" s="7" t="n"/>
      <c r="V5" s="8">
        <f>IF(OR($E5="",T5=""),"",IF($E5="LONG",(T5-L5)*Q5,(L5-T5)*Q5))</f>
        <v/>
      </c>
      <c r="W5" s="10">
        <f>IF(V5="","",V5/N5)</f>
        <v/>
      </c>
      <c r="X5" s="11">
        <f>IF(V5="","",V5/R5)</f>
        <v/>
      </c>
      <c r="Y5" s="8">
        <f>IF(OR($E5="",L5=""),"",IF($E5="LONG",L5-K5,K5-L5))</f>
        <v/>
      </c>
      <c r="AP5" s="7" t="n"/>
    </row>
    <row r="6">
      <c r="H6" s="7" t="n"/>
      <c r="I6" s="7" t="n"/>
      <c r="J6" s="8">
        <f>IF($E6="","",MAX(Settings!$B$7,ROUND(Settings!$B$8*IF($E6="LONG",H6,I6),2)))</f>
        <v/>
      </c>
      <c r="K6" s="8">
        <f>IF($E6="","",IF($E6="LONG",H6+J6,I6-J6))</f>
        <v/>
      </c>
      <c r="L6" s="7" t="n"/>
      <c r="M6" s="8">
        <f>IF($E6="","",IF($E6="LONG",K6-O6,K6+O6))</f>
        <v/>
      </c>
      <c r="N6" s="7" t="n"/>
      <c r="O6" s="8">
        <f>IF(OR($E6="",AP6=""),"",ROUNDUP(ROUND(MAX(IF($E6="LONG",K6-I6,H6-K6),Settings!$B$9*AP6),6),2))</f>
        <v/>
      </c>
      <c r="P6" s="8">
        <f>IF($E6="","",N6*Settings!$B$4)</f>
        <v/>
      </c>
      <c r="Q6" s="9">
        <f>IF(O6="","",MIN(INT(ROUND(P6/O6,6)),INT(ROUND(Settings!$B$5/K6,6))))</f>
        <v/>
      </c>
      <c r="R6" s="8">
        <f>IF(O6="","",Q6*O6)</f>
        <v/>
      </c>
      <c r="S6" s="8">
        <f>IF(O6="","",IF($E6="LONG",K6+Settings!$B$6*O6,K6-Settings!$B$6*O6))</f>
        <v/>
      </c>
      <c r="T6" s="7" t="n"/>
      <c r="V6" s="8">
        <f>IF(OR($E6="",T6=""),"",IF($E6="LONG",(T6-L6)*Q6,(L6-T6)*Q6))</f>
        <v/>
      </c>
      <c r="W6" s="10">
        <f>IF(V6="","",V6/N6)</f>
        <v/>
      </c>
      <c r="X6" s="11">
        <f>IF(V6="","",V6/R6)</f>
        <v/>
      </c>
      <c r="Y6" s="8">
        <f>IF(OR($E6="",L6=""),"",IF($E6="LONG",L6-K6,K6-L6))</f>
        <v/>
      </c>
      <c r="AP6" s="7" t="n"/>
    </row>
    <row r="7">
      <c r="H7" s="7" t="n"/>
      <c r="I7" s="7" t="n"/>
      <c r="J7" s="8">
        <f>IF($E7="","",MAX(Settings!$B$7,ROUND(Settings!$B$8*IF($E7="LONG",H7,I7),2)))</f>
        <v/>
      </c>
      <c r="K7" s="8">
        <f>IF($E7="","",IF($E7="LONG",H7+J7,I7-J7))</f>
        <v/>
      </c>
      <c r="L7" s="7" t="n"/>
      <c r="M7" s="8">
        <f>IF($E7="","",IF($E7="LONG",K7-O7,K7+O7))</f>
        <v/>
      </c>
      <c r="N7" s="7" t="n"/>
      <c r="O7" s="8">
        <f>IF(OR($E7="",AP7=""),"",ROUNDUP(ROUND(MAX(IF($E7="LONG",K7-I7,H7-K7),Settings!$B$9*AP7),6),2))</f>
        <v/>
      </c>
      <c r="P7" s="8">
        <f>IF($E7="","",N7*Settings!$B$4)</f>
        <v/>
      </c>
      <c r="Q7" s="9">
        <f>IF(O7="","",MIN(INT(ROUND(P7/O7,6)),INT(ROUND(Settings!$B$5/K7,6))))</f>
        <v/>
      </c>
      <c r="R7" s="8">
        <f>IF(O7="","",Q7*O7)</f>
        <v/>
      </c>
      <c r="S7" s="8">
        <f>IF(O7="","",IF($E7="LONG",K7+Settings!$B$6*O7,K7-Settings!$B$6*O7))</f>
        <v/>
      </c>
      <c r="T7" s="7" t="n"/>
      <c r="V7" s="8">
        <f>IF(OR($E7="",T7=""),"",IF($E7="LONG",(T7-L7)*Q7,(L7-T7)*Q7))</f>
        <v/>
      </c>
      <c r="W7" s="10">
        <f>IF(V7="","",V7/N7)</f>
        <v/>
      </c>
      <c r="X7" s="11">
        <f>IF(V7="","",V7/R7)</f>
        <v/>
      </c>
      <c r="Y7" s="8">
        <f>IF(OR($E7="",L7=""),"",IF($E7="LONG",L7-K7,K7-L7))</f>
        <v/>
      </c>
      <c r="AP7" s="7" t="n"/>
    </row>
    <row r="8">
      <c r="H8" s="7" t="n"/>
      <c r="I8" s="7" t="n"/>
      <c r="J8" s="8">
        <f>IF($E8="","",MAX(Settings!$B$7,ROUND(Settings!$B$8*IF($E8="LONG",H8,I8),2)))</f>
        <v/>
      </c>
      <c r="K8" s="8">
        <f>IF($E8="","",IF($E8="LONG",H8+J8,I8-J8))</f>
        <v/>
      </c>
      <c r="L8" s="7" t="n"/>
      <c r="M8" s="8">
        <f>IF($E8="","",IF($E8="LONG",K8-O8,K8+O8))</f>
        <v/>
      </c>
      <c r="N8" s="7" t="n"/>
      <c r="O8" s="8">
        <f>IF(OR($E8="",AP8=""),"",ROUNDUP(ROUND(MAX(IF($E8="LONG",K8-I8,H8-K8),Settings!$B$9*AP8),6),2))</f>
        <v/>
      </c>
      <c r="P8" s="8">
        <f>IF($E8="","",N8*Settings!$B$4)</f>
        <v/>
      </c>
      <c r="Q8" s="9">
        <f>IF(O8="","",MIN(INT(ROUND(P8/O8,6)),INT(ROUND(Settings!$B$5/K8,6))))</f>
        <v/>
      </c>
      <c r="R8" s="8">
        <f>IF(O8="","",Q8*O8)</f>
        <v/>
      </c>
      <c r="S8" s="8">
        <f>IF(O8="","",IF($E8="LONG",K8+Settings!$B$6*O8,K8-Settings!$B$6*O8))</f>
        <v/>
      </c>
      <c r="T8" s="7" t="n"/>
      <c r="V8" s="8">
        <f>IF(OR($E8="",T8=""),"",IF($E8="LONG",(T8-L8)*Q8,(L8-T8)*Q8))</f>
        <v/>
      </c>
      <c r="W8" s="10">
        <f>IF(V8="","",V8/N8)</f>
        <v/>
      </c>
      <c r="X8" s="11">
        <f>IF(V8="","",V8/R8)</f>
        <v/>
      </c>
      <c r="Y8" s="8">
        <f>IF(OR($E8="",L8=""),"",IF($E8="LONG",L8-K8,K8-L8))</f>
        <v/>
      </c>
      <c r="AP8" s="7" t="n"/>
    </row>
    <row r="9">
      <c r="H9" s="7" t="n"/>
      <c r="I9" s="7" t="n"/>
      <c r="J9" s="8">
        <f>IF($E9="","",MAX(Settings!$B$7,ROUND(Settings!$B$8*IF($E9="LONG",H9,I9),2)))</f>
        <v/>
      </c>
      <c r="K9" s="8">
        <f>IF($E9="","",IF($E9="LONG",H9+J9,I9-J9))</f>
        <v/>
      </c>
      <c r="L9" s="7" t="n"/>
      <c r="M9" s="8">
        <f>IF($E9="","",IF($E9="LONG",K9-O9,K9+O9))</f>
        <v/>
      </c>
      <c r="N9" s="7" t="n"/>
      <c r="O9" s="8">
        <f>IF(OR($E9="",AP9=""),"",ROUNDUP(ROUND(MAX(IF($E9="LONG",K9-I9,H9-K9),Settings!$B$9*AP9),6),2))</f>
        <v/>
      </c>
      <c r="P9" s="8">
        <f>IF($E9="","",N9*Settings!$B$4)</f>
        <v/>
      </c>
      <c r="Q9" s="9">
        <f>IF(O9="","",MIN(INT(ROUND(P9/O9,6)),INT(ROUND(Settings!$B$5/K9,6))))</f>
        <v/>
      </c>
      <c r="R9" s="8">
        <f>IF(O9="","",Q9*O9)</f>
        <v/>
      </c>
      <c r="S9" s="8">
        <f>IF(O9="","",IF($E9="LONG",K9+Settings!$B$6*O9,K9-Settings!$B$6*O9))</f>
        <v/>
      </c>
      <c r="T9" s="7" t="n"/>
      <c r="V9" s="8">
        <f>IF(OR($E9="",T9=""),"",IF($E9="LONG",(T9-L9)*Q9,(L9-T9)*Q9))</f>
        <v/>
      </c>
      <c r="W9" s="10">
        <f>IF(V9="","",V9/N9)</f>
        <v/>
      </c>
      <c r="X9" s="11">
        <f>IF(V9="","",V9/R9)</f>
        <v/>
      </c>
      <c r="Y9" s="8">
        <f>IF(OR($E9="",L9=""),"",IF($E9="LONG",L9-K9,K9-L9))</f>
        <v/>
      </c>
      <c r="AP9" s="7" t="n"/>
    </row>
    <row r="10">
      <c r="H10" s="7" t="n"/>
      <c r="I10" s="7" t="n"/>
      <c r="J10" s="8">
        <f>IF($E10="","",MAX(Settings!$B$7,ROUND(Settings!$B$8*IF($E10="LONG",H10,I10),2)))</f>
        <v/>
      </c>
      <c r="K10" s="8">
        <f>IF($E10="","",IF($E10="LONG",H10+J10,I10-J10))</f>
        <v/>
      </c>
      <c r="L10" s="7" t="n"/>
      <c r="M10" s="8">
        <f>IF($E10="","",IF($E10="LONG",K10-O10,K10+O10))</f>
        <v/>
      </c>
      <c r="N10" s="7" t="n"/>
      <c r="O10" s="8">
        <f>IF(OR($E10="",AP10=""),"",ROUNDUP(ROUND(MAX(IF($E10="LONG",K10-I10,H10-K10),Settings!$B$9*AP10),6),2))</f>
        <v/>
      </c>
      <c r="P10" s="8">
        <f>IF($E10="","",N10*Settings!$B$4)</f>
        <v/>
      </c>
      <c r="Q10" s="9">
        <f>IF(O10="","",MIN(INT(ROUND(P10/O10,6)),INT(ROUND(Settings!$B$5/K10,6))))</f>
        <v/>
      </c>
      <c r="R10" s="8">
        <f>IF(O10="","",Q10*O10)</f>
        <v/>
      </c>
      <c r="S10" s="8">
        <f>IF(O10="","",IF($E10="LONG",K10+Settings!$B$6*O10,K10-Settings!$B$6*O10))</f>
        <v/>
      </c>
      <c r="T10" s="7" t="n"/>
      <c r="V10" s="8">
        <f>IF(OR($E10="",T10=""),"",IF($E10="LONG",(T10-L10)*Q10,(L10-T10)*Q10))</f>
        <v/>
      </c>
      <c r="W10" s="10">
        <f>IF(V10="","",V10/N10)</f>
        <v/>
      </c>
      <c r="X10" s="11">
        <f>IF(V10="","",V10/R10)</f>
        <v/>
      </c>
      <c r="Y10" s="8">
        <f>IF(OR($E10="",L10=""),"",IF($E10="LONG",L10-K10,K10-L10))</f>
        <v/>
      </c>
      <c r="AP10" s="7" t="n"/>
    </row>
    <row r="11">
      <c r="H11" s="7" t="n"/>
      <c r="I11" s="7" t="n"/>
      <c r="J11" s="8">
        <f>IF($E11="","",MAX(Settings!$B$7,ROUND(Settings!$B$8*IF($E11="LONG",H11,I11),2)))</f>
        <v/>
      </c>
      <c r="K11" s="8">
        <f>IF($E11="","",IF($E11="LONG",H11+J11,I11-J11))</f>
        <v/>
      </c>
      <c r="L11" s="7" t="n"/>
      <c r="M11" s="8">
        <f>IF($E11="","",IF($E11="LONG",K11-O11,K11+O11))</f>
        <v/>
      </c>
      <c r="N11" s="7" t="n"/>
      <c r="O11" s="8">
        <f>IF(OR($E11="",AP11=""),"",ROUNDUP(ROUND(MAX(IF($E11="LONG",K11-I11,H11-K11),Settings!$B$9*AP11),6),2))</f>
        <v/>
      </c>
      <c r="P11" s="8">
        <f>IF($E11="","",N11*Settings!$B$4)</f>
        <v/>
      </c>
      <c r="Q11" s="9">
        <f>IF(O11="","",MIN(INT(ROUND(P11/O11,6)),INT(ROUND(Settings!$B$5/K11,6))))</f>
        <v/>
      </c>
      <c r="R11" s="8">
        <f>IF(O11="","",Q11*O11)</f>
        <v/>
      </c>
      <c r="S11" s="8">
        <f>IF(O11="","",IF($E11="LONG",K11+Settings!$B$6*O11,K11-Settings!$B$6*O11))</f>
        <v/>
      </c>
      <c r="T11" s="7" t="n"/>
      <c r="V11" s="8">
        <f>IF(OR($E11="",T11=""),"",IF($E11="LONG",(T11-L11)*Q11,(L11-T11)*Q11))</f>
        <v/>
      </c>
      <c r="W11" s="10">
        <f>IF(V11="","",V11/N11)</f>
        <v/>
      </c>
      <c r="X11" s="11">
        <f>IF(V11="","",V11/R11)</f>
        <v/>
      </c>
      <c r="Y11" s="8">
        <f>IF(OR($E11="",L11=""),"",IF($E11="LONG",L11-K11,K11-L11))</f>
        <v/>
      </c>
      <c r="AP11" s="7" t="n"/>
    </row>
    <row r="12">
      <c r="H12" s="7" t="n"/>
      <c r="I12" s="7" t="n"/>
      <c r="J12" s="8">
        <f>IF($E12="","",MAX(Settings!$B$7,ROUND(Settings!$B$8*IF($E12="LONG",H12,I12),2)))</f>
        <v/>
      </c>
      <c r="K12" s="8">
        <f>IF($E12="","",IF($E12="LONG",H12+J12,I12-J12))</f>
        <v/>
      </c>
      <c r="L12" s="7" t="n"/>
      <c r="M12" s="8">
        <f>IF($E12="","",IF($E12="LONG",K12-O12,K12+O12))</f>
        <v/>
      </c>
      <c r="N12" s="7" t="n"/>
      <c r="O12" s="8">
        <f>IF(OR($E12="",AP12=""),"",ROUNDUP(ROUND(MAX(IF($E12="LONG",K12-I12,H12-K12),Settings!$B$9*AP12),6),2))</f>
        <v/>
      </c>
      <c r="P12" s="8">
        <f>IF($E12="","",N12*Settings!$B$4)</f>
        <v/>
      </c>
      <c r="Q12" s="9">
        <f>IF(O12="","",MIN(INT(ROUND(P12/O12,6)),INT(ROUND(Settings!$B$5/K12,6))))</f>
        <v/>
      </c>
      <c r="R12" s="8">
        <f>IF(O12="","",Q12*O12)</f>
        <v/>
      </c>
      <c r="S12" s="8">
        <f>IF(O12="","",IF($E12="LONG",K12+Settings!$B$6*O12,K12-Settings!$B$6*O12))</f>
        <v/>
      </c>
      <c r="T12" s="7" t="n"/>
      <c r="V12" s="8">
        <f>IF(OR($E12="",T12=""),"",IF($E12="LONG",(T12-L12)*Q12,(L12-T12)*Q12))</f>
        <v/>
      </c>
      <c r="W12" s="10">
        <f>IF(V12="","",V12/N12)</f>
        <v/>
      </c>
      <c r="X12" s="11">
        <f>IF(V12="","",V12/R12)</f>
        <v/>
      </c>
      <c r="Y12" s="8">
        <f>IF(OR($E12="",L12=""),"",IF($E12="LONG",L12-K12,K12-L12))</f>
        <v/>
      </c>
      <c r="AP12" s="7" t="n"/>
    </row>
    <row r="13">
      <c r="H13" s="7" t="n"/>
      <c r="I13" s="7" t="n"/>
      <c r="J13" s="8">
        <f>IF($E13="","",MAX(Settings!$B$7,ROUND(Settings!$B$8*IF($E13="LONG",H13,I13),2)))</f>
        <v/>
      </c>
      <c r="K13" s="8">
        <f>IF($E13="","",IF($E13="LONG",H13+J13,I13-J13))</f>
        <v/>
      </c>
      <c r="L13" s="7" t="n"/>
      <c r="M13" s="8">
        <f>IF($E13="","",IF($E13="LONG",K13-O13,K13+O13))</f>
        <v/>
      </c>
      <c r="N13" s="7" t="n"/>
      <c r="O13" s="8">
        <f>IF(OR($E13="",AP13=""),"",ROUNDUP(ROUND(MAX(IF($E13="LONG",K13-I13,H13-K13),Settings!$B$9*AP13),6),2))</f>
        <v/>
      </c>
      <c r="P13" s="8">
        <f>IF($E13="","",N13*Settings!$B$4)</f>
        <v/>
      </c>
      <c r="Q13" s="9">
        <f>IF(O13="","",MIN(INT(ROUND(P13/O13,6)),INT(ROUND(Settings!$B$5/K13,6))))</f>
        <v/>
      </c>
      <c r="R13" s="8">
        <f>IF(O13="","",Q13*O13)</f>
        <v/>
      </c>
      <c r="S13" s="8">
        <f>IF(O13="","",IF($E13="LONG",K13+Settings!$B$6*O13,K13-Settings!$B$6*O13))</f>
        <v/>
      </c>
      <c r="T13" s="7" t="n"/>
      <c r="V13" s="8">
        <f>IF(OR($E13="",T13=""),"",IF($E13="LONG",(T13-L13)*Q13,(L13-T13)*Q13))</f>
        <v/>
      </c>
      <c r="W13" s="10">
        <f>IF(V13="","",V13/N13)</f>
        <v/>
      </c>
      <c r="X13" s="11">
        <f>IF(V13="","",V13/R13)</f>
        <v/>
      </c>
      <c r="Y13" s="8">
        <f>IF(OR($E13="",L13=""),"",IF($E13="LONG",L13-K13,K13-L13))</f>
        <v/>
      </c>
      <c r="AP13" s="7" t="n"/>
    </row>
    <row r="14">
      <c r="H14" s="7" t="n"/>
      <c r="I14" s="7" t="n"/>
      <c r="J14" s="8">
        <f>IF($E14="","",MAX(Settings!$B$7,ROUND(Settings!$B$8*IF($E14="LONG",H14,I14),2)))</f>
        <v/>
      </c>
      <c r="K14" s="8">
        <f>IF($E14="","",IF($E14="LONG",H14+J14,I14-J14))</f>
        <v/>
      </c>
      <c r="L14" s="7" t="n"/>
      <c r="M14" s="8">
        <f>IF($E14="","",IF($E14="LONG",K14-O14,K14+O14))</f>
        <v/>
      </c>
      <c r="N14" s="7" t="n"/>
      <c r="O14" s="8">
        <f>IF(OR($E14="",AP14=""),"",ROUNDUP(ROUND(MAX(IF($E14="LONG",K14-I14,H14-K14),Settings!$B$9*AP14),6),2))</f>
        <v/>
      </c>
      <c r="P14" s="8">
        <f>IF($E14="","",N14*Settings!$B$4)</f>
        <v/>
      </c>
      <c r="Q14" s="9">
        <f>IF(O14="","",MIN(INT(ROUND(P14/O14,6)),INT(ROUND(Settings!$B$5/K14,6))))</f>
        <v/>
      </c>
      <c r="R14" s="8">
        <f>IF(O14="","",Q14*O14)</f>
        <v/>
      </c>
      <c r="S14" s="8">
        <f>IF(O14="","",IF($E14="LONG",K14+Settings!$B$6*O14,K14-Settings!$B$6*O14))</f>
        <v/>
      </c>
      <c r="T14" s="7" t="n"/>
      <c r="V14" s="8">
        <f>IF(OR($E14="",T14=""),"",IF($E14="LONG",(T14-L14)*Q14,(L14-T14)*Q14))</f>
        <v/>
      </c>
      <c r="W14" s="10">
        <f>IF(V14="","",V14/N14)</f>
        <v/>
      </c>
      <c r="X14" s="11">
        <f>IF(V14="","",V14/R14)</f>
        <v/>
      </c>
      <c r="Y14" s="8">
        <f>IF(OR($E14="",L14=""),"",IF($E14="LONG",L14-K14,K14-L14))</f>
        <v/>
      </c>
      <c r="AP14" s="7" t="n"/>
    </row>
    <row r="15">
      <c r="H15" s="7" t="n"/>
      <c r="I15" s="7" t="n"/>
      <c r="J15" s="8">
        <f>IF($E15="","",MAX(Settings!$B$7,ROUND(Settings!$B$8*IF($E15="LONG",H15,I15),2)))</f>
        <v/>
      </c>
      <c r="K15" s="8">
        <f>IF($E15="","",IF($E15="LONG",H15+J15,I15-J15))</f>
        <v/>
      </c>
      <c r="L15" s="7" t="n"/>
      <c r="M15" s="8">
        <f>IF($E15="","",IF($E15="LONG",K15-O15,K15+O15))</f>
        <v/>
      </c>
      <c r="N15" s="7" t="n"/>
      <c r="O15" s="8">
        <f>IF(OR($E15="",AP15=""),"",ROUNDUP(ROUND(MAX(IF($E15="LONG",K15-I15,H15-K15),Settings!$B$9*AP15),6),2))</f>
        <v/>
      </c>
      <c r="P15" s="8">
        <f>IF($E15="","",N15*Settings!$B$4)</f>
        <v/>
      </c>
      <c r="Q15" s="9">
        <f>IF(O15="","",MIN(INT(ROUND(P15/O15,6)),INT(ROUND(Settings!$B$5/K15,6))))</f>
        <v/>
      </c>
      <c r="R15" s="8">
        <f>IF(O15="","",Q15*O15)</f>
        <v/>
      </c>
      <c r="S15" s="8">
        <f>IF(O15="","",IF($E15="LONG",K15+Settings!$B$6*O15,K15-Settings!$B$6*O15))</f>
        <v/>
      </c>
      <c r="T15" s="7" t="n"/>
      <c r="V15" s="8">
        <f>IF(OR($E15="",T15=""),"",IF($E15="LONG",(T15-L15)*Q15,(L15-T15)*Q15))</f>
        <v/>
      </c>
      <c r="W15" s="10">
        <f>IF(V15="","",V15/N15)</f>
        <v/>
      </c>
      <c r="X15" s="11">
        <f>IF(V15="","",V15/R15)</f>
        <v/>
      </c>
      <c r="Y15" s="8">
        <f>IF(OR($E15="",L15=""),"",IF($E15="LONG",L15-K15,K15-L15))</f>
        <v/>
      </c>
      <c r="AP15" s="7" t="n"/>
    </row>
    <row r="16">
      <c r="H16" s="7" t="n"/>
      <c r="I16" s="7" t="n"/>
      <c r="J16" s="8">
        <f>IF($E16="","",MAX(Settings!$B$7,ROUND(Settings!$B$8*IF($E16="LONG",H16,I16),2)))</f>
        <v/>
      </c>
      <c r="K16" s="8">
        <f>IF($E16="","",IF($E16="LONG",H16+J16,I16-J16))</f>
        <v/>
      </c>
      <c r="L16" s="7" t="n"/>
      <c r="M16" s="8">
        <f>IF($E16="","",IF($E16="LONG",K16-O16,K16+O16))</f>
        <v/>
      </c>
      <c r="N16" s="7" t="n"/>
      <c r="O16" s="8">
        <f>IF(OR($E16="",AP16=""),"",ROUNDUP(ROUND(MAX(IF($E16="LONG",K16-I16,H16-K16),Settings!$B$9*AP16),6),2))</f>
        <v/>
      </c>
      <c r="P16" s="8">
        <f>IF($E16="","",N16*Settings!$B$4)</f>
        <v/>
      </c>
      <c r="Q16" s="9">
        <f>IF(O16="","",MIN(INT(ROUND(P16/O16,6)),INT(ROUND(Settings!$B$5/K16,6))))</f>
        <v/>
      </c>
      <c r="R16" s="8">
        <f>IF(O16="","",Q16*O16)</f>
        <v/>
      </c>
      <c r="S16" s="8">
        <f>IF(O16="","",IF($E16="LONG",K16+Settings!$B$6*O16,K16-Settings!$B$6*O16))</f>
        <v/>
      </c>
      <c r="T16" s="7" t="n"/>
      <c r="V16" s="8">
        <f>IF(OR($E16="",T16=""),"",IF($E16="LONG",(T16-L16)*Q16,(L16-T16)*Q16))</f>
        <v/>
      </c>
      <c r="W16" s="10">
        <f>IF(V16="","",V16/N16)</f>
        <v/>
      </c>
      <c r="X16" s="11">
        <f>IF(V16="","",V16/R16)</f>
        <v/>
      </c>
      <c r="Y16" s="8">
        <f>IF(OR($E16="",L16=""),"",IF($E16="LONG",L16-K16,K16-L16))</f>
        <v/>
      </c>
      <c r="AP16" s="7" t="n"/>
    </row>
    <row r="17">
      <c r="H17" s="7" t="n"/>
      <c r="I17" s="7" t="n"/>
      <c r="J17" s="8">
        <f>IF($E17="","",MAX(Settings!$B$7,ROUND(Settings!$B$8*IF($E17="LONG",H17,I17),2)))</f>
        <v/>
      </c>
      <c r="K17" s="8">
        <f>IF($E17="","",IF($E17="LONG",H17+J17,I17-J17))</f>
        <v/>
      </c>
      <c r="L17" s="7" t="n"/>
      <c r="M17" s="8">
        <f>IF($E17="","",IF($E17="LONG",K17-O17,K17+O17))</f>
        <v/>
      </c>
      <c r="N17" s="7" t="n"/>
      <c r="O17" s="8">
        <f>IF(OR($E17="",AP17=""),"",ROUNDUP(ROUND(MAX(IF($E17="LONG",K17-I17,H17-K17),Settings!$B$9*AP17),6),2))</f>
        <v/>
      </c>
      <c r="P17" s="8">
        <f>IF($E17="","",N17*Settings!$B$4)</f>
        <v/>
      </c>
      <c r="Q17" s="9">
        <f>IF(O17="","",MIN(INT(ROUND(P17/O17,6)),INT(ROUND(Settings!$B$5/K17,6))))</f>
        <v/>
      </c>
      <c r="R17" s="8">
        <f>IF(O17="","",Q17*O17)</f>
        <v/>
      </c>
      <c r="S17" s="8">
        <f>IF(O17="","",IF($E17="LONG",K17+Settings!$B$6*O17,K17-Settings!$B$6*O17))</f>
        <v/>
      </c>
      <c r="T17" s="7" t="n"/>
      <c r="V17" s="8">
        <f>IF(OR($E17="",T17=""),"",IF($E17="LONG",(T17-L17)*Q17,(L17-T17)*Q17))</f>
        <v/>
      </c>
      <c r="W17" s="10">
        <f>IF(V17="","",V17/N17)</f>
        <v/>
      </c>
      <c r="X17" s="11">
        <f>IF(V17="","",V17/R17)</f>
        <v/>
      </c>
      <c r="Y17" s="8">
        <f>IF(OR($E17="",L17=""),"",IF($E17="LONG",L17-K17,K17-L17))</f>
        <v/>
      </c>
      <c r="AP17" s="7" t="n"/>
    </row>
    <row r="18">
      <c r="H18" s="7" t="n"/>
      <c r="I18" s="7" t="n"/>
      <c r="J18" s="8">
        <f>IF($E18="","",MAX(Settings!$B$7,ROUND(Settings!$B$8*IF($E18="LONG",H18,I18),2)))</f>
        <v/>
      </c>
      <c r="K18" s="8">
        <f>IF($E18="","",IF($E18="LONG",H18+J18,I18-J18))</f>
        <v/>
      </c>
      <c r="L18" s="7" t="n"/>
      <c r="M18" s="8">
        <f>IF($E18="","",IF($E18="LONG",K18-O18,K18+O18))</f>
        <v/>
      </c>
      <c r="N18" s="7" t="n"/>
      <c r="O18" s="8">
        <f>IF(OR($E18="",AP18=""),"",ROUNDUP(ROUND(MAX(IF($E18="LONG",K18-I18,H18-K18),Settings!$B$9*AP18),6),2))</f>
        <v/>
      </c>
      <c r="P18" s="8">
        <f>IF($E18="","",N18*Settings!$B$4)</f>
        <v/>
      </c>
      <c r="Q18" s="9">
        <f>IF(O18="","",MIN(INT(ROUND(P18/O18,6)),INT(ROUND(Settings!$B$5/K18,6))))</f>
        <v/>
      </c>
      <c r="R18" s="8">
        <f>IF(O18="","",Q18*O18)</f>
        <v/>
      </c>
      <c r="S18" s="8">
        <f>IF(O18="","",IF($E18="LONG",K18+Settings!$B$6*O18,K18-Settings!$B$6*O18))</f>
        <v/>
      </c>
      <c r="T18" s="7" t="n"/>
      <c r="V18" s="8">
        <f>IF(OR($E18="",T18=""),"",IF($E18="LONG",(T18-L18)*Q18,(L18-T18)*Q18))</f>
        <v/>
      </c>
      <c r="W18" s="10">
        <f>IF(V18="","",V18/N18)</f>
        <v/>
      </c>
      <c r="X18" s="11">
        <f>IF(V18="","",V18/R18)</f>
        <v/>
      </c>
      <c r="Y18" s="8">
        <f>IF(OR($E18="",L18=""),"",IF($E18="LONG",L18-K18,K18-L18))</f>
        <v/>
      </c>
      <c r="AP18" s="7" t="n"/>
    </row>
    <row r="19">
      <c r="H19" s="7" t="n"/>
      <c r="I19" s="7" t="n"/>
      <c r="J19" s="8">
        <f>IF($E19="","",MAX(Settings!$B$7,ROUND(Settings!$B$8*IF($E19="LONG",H19,I19),2)))</f>
        <v/>
      </c>
      <c r="K19" s="8">
        <f>IF($E19="","",IF($E19="LONG",H19+J19,I19-J19))</f>
        <v/>
      </c>
      <c r="L19" s="7" t="n"/>
      <c r="M19" s="8">
        <f>IF($E19="","",IF($E19="LONG",K19-O19,K19+O19))</f>
        <v/>
      </c>
      <c r="N19" s="7" t="n"/>
      <c r="O19" s="8">
        <f>IF(OR($E19="",AP19=""),"",ROUNDUP(ROUND(MAX(IF($E19="LONG",K19-I19,H19-K19),Settings!$B$9*AP19),6),2))</f>
        <v/>
      </c>
      <c r="P19" s="8">
        <f>IF($E19="","",N19*Settings!$B$4)</f>
        <v/>
      </c>
      <c r="Q19" s="9">
        <f>IF(O19="","",MIN(INT(ROUND(P19/O19,6)),INT(ROUND(Settings!$B$5/K19,6))))</f>
        <v/>
      </c>
      <c r="R19" s="8">
        <f>IF(O19="","",Q19*O19)</f>
        <v/>
      </c>
      <c r="S19" s="8">
        <f>IF(O19="","",IF($E19="LONG",K19+Settings!$B$6*O19,K19-Settings!$B$6*O19))</f>
        <v/>
      </c>
      <c r="T19" s="7" t="n"/>
      <c r="V19" s="8">
        <f>IF(OR($E19="",T19=""),"",IF($E19="LONG",(T19-L19)*Q19,(L19-T19)*Q19))</f>
        <v/>
      </c>
      <c r="W19" s="10">
        <f>IF(V19="","",V19/N19)</f>
        <v/>
      </c>
      <c r="X19" s="11">
        <f>IF(V19="","",V19/R19)</f>
        <v/>
      </c>
      <c r="Y19" s="8">
        <f>IF(OR($E19="",L19=""),"",IF($E19="LONG",L19-K19,K19-L19))</f>
        <v/>
      </c>
      <c r="AP19" s="7" t="n"/>
    </row>
    <row r="20">
      <c r="H20" s="7" t="n"/>
      <c r="I20" s="7" t="n"/>
      <c r="J20" s="8">
        <f>IF($E20="","",MAX(Settings!$B$7,ROUND(Settings!$B$8*IF($E20="LONG",H20,I20),2)))</f>
        <v/>
      </c>
      <c r="K20" s="8">
        <f>IF($E20="","",IF($E20="LONG",H20+J20,I20-J20))</f>
        <v/>
      </c>
      <c r="L20" s="7" t="n"/>
      <c r="M20" s="8">
        <f>IF($E20="","",IF($E20="LONG",K20-O20,K20+O20))</f>
        <v/>
      </c>
      <c r="N20" s="7" t="n"/>
      <c r="O20" s="8">
        <f>IF(OR($E20="",AP20=""),"",ROUNDUP(ROUND(MAX(IF($E20="LONG",K20-I20,H20-K20),Settings!$B$9*AP20),6),2))</f>
        <v/>
      </c>
      <c r="P20" s="8">
        <f>IF($E20="","",N20*Settings!$B$4)</f>
        <v/>
      </c>
      <c r="Q20" s="9">
        <f>IF(O20="","",MIN(INT(ROUND(P20/O20,6)),INT(ROUND(Settings!$B$5/K20,6))))</f>
        <v/>
      </c>
      <c r="R20" s="8">
        <f>IF(O20="","",Q20*O20)</f>
        <v/>
      </c>
      <c r="S20" s="8">
        <f>IF(O20="","",IF($E20="LONG",K20+Settings!$B$6*O20,K20-Settings!$B$6*O20))</f>
        <v/>
      </c>
      <c r="T20" s="7" t="n"/>
      <c r="V20" s="8">
        <f>IF(OR($E20="",T20=""),"",IF($E20="LONG",(T20-L20)*Q20,(L20-T20)*Q20))</f>
        <v/>
      </c>
      <c r="W20" s="10">
        <f>IF(V20="","",V20/N20)</f>
        <v/>
      </c>
      <c r="X20" s="11">
        <f>IF(V20="","",V20/R20)</f>
        <v/>
      </c>
      <c r="Y20" s="8">
        <f>IF(OR($E20="",L20=""),"",IF($E20="LONG",L20-K20,K20-L20))</f>
        <v/>
      </c>
      <c r="AP20" s="7" t="n"/>
    </row>
    <row r="21">
      <c r="H21" s="7" t="n"/>
      <c r="I21" s="7" t="n"/>
      <c r="J21" s="8">
        <f>IF($E21="","",MAX(Settings!$B$7,ROUND(Settings!$B$8*IF($E21="LONG",H21,I21),2)))</f>
        <v/>
      </c>
      <c r="K21" s="8">
        <f>IF($E21="","",IF($E21="LONG",H21+J21,I21-J21))</f>
        <v/>
      </c>
      <c r="L21" s="7" t="n"/>
      <c r="M21" s="8">
        <f>IF($E21="","",IF($E21="LONG",K21-O21,K21+O21))</f>
        <v/>
      </c>
      <c r="N21" s="7" t="n"/>
      <c r="O21" s="8">
        <f>IF(OR($E21="",AP21=""),"",ROUNDUP(ROUND(MAX(IF($E21="LONG",K21-I21,H21-K21),Settings!$B$9*AP21),6),2))</f>
        <v/>
      </c>
      <c r="P21" s="8">
        <f>IF($E21="","",N21*Settings!$B$4)</f>
        <v/>
      </c>
      <c r="Q21" s="9">
        <f>IF(O21="","",MIN(INT(ROUND(P21/O21,6)),INT(ROUND(Settings!$B$5/K21,6))))</f>
        <v/>
      </c>
      <c r="R21" s="8">
        <f>IF(O21="","",Q21*O21)</f>
        <v/>
      </c>
      <c r="S21" s="8">
        <f>IF(O21="","",IF($E21="LONG",K21+Settings!$B$6*O21,K21-Settings!$B$6*O21))</f>
        <v/>
      </c>
      <c r="T21" s="7" t="n"/>
      <c r="V21" s="8">
        <f>IF(OR($E21="",T21=""),"",IF($E21="LONG",(T21-L21)*Q21,(L21-T21)*Q21))</f>
        <v/>
      </c>
      <c r="W21" s="10">
        <f>IF(V21="","",V21/N21)</f>
        <v/>
      </c>
      <c r="X21" s="11">
        <f>IF(V21="","",V21/R21)</f>
        <v/>
      </c>
      <c r="Y21" s="8">
        <f>IF(OR($E21="",L21=""),"",IF($E21="LONG",L21-K21,K21-L21))</f>
        <v/>
      </c>
      <c r="AP21" s="7" t="n"/>
    </row>
    <row r="22">
      <c r="H22" s="7" t="n"/>
      <c r="I22" s="7" t="n"/>
      <c r="J22" s="8">
        <f>IF($E22="","",MAX(Settings!$B$7,ROUND(Settings!$B$8*IF($E22="LONG",H22,I22),2)))</f>
        <v/>
      </c>
      <c r="K22" s="8">
        <f>IF($E22="","",IF($E22="LONG",H22+J22,I22-J22))</f>
        <v/>
      </c>
      <c r="L22" s="7" t="n"/>
      <c r="M22" s="8">
        <f>IF($E22="","",IF($E22="LONG",K22-O22,K22+O22))</f>
        <v/>
      </c>
      <c r="N22" s="7" t="n"/>
      <c r="O22" s="8">
        <f>IF(OR($E22="",AP22=""),"",ROUNDUP(ROUND(MAX(IF($E22="LONG",K22-I22,H22-K22),Settings!$B$9*AP22),6),2))</f>
        <v/>
      </c>
      <c r="P22" s="8">
        <f>IF($E22="","",N22*Settings!$B$4)</f>
        <v/>
      </c>
      <c r="Q22" s="9">
        <f>IF(O22="","",MIN(INT(ROUND(P22/O22,6)),INT(ROUND(Settings!$B$5/K22,6))))</f>
        <v/>
      </c>
      <c r="R22" s="8">
        <f>IF(O22="","",Q22*O22)</f>
        <v/>
      </c>
      <c r="S22" s="8">
        <f>IF(O22="","",IF($E22="LONG",K22+Settings!$B$6*O22,K22-Settings!$B$6*O22))</f>
        <v/>
      </c>
      <c r="T22" s="7" t="n"/>
      <c r="V22" s="8">
        <f>IF(OR($E22="",T22=""),"",IF($E22="LONG",(T22-L22)*Q22,(L22-T22)*Q22))</f>
        <v/>
      </c>
      <c r="W22" s="10">
        <f>IF(V22="","",V22/N22)</f>
        <v/>
      </c>
      <c r="X22" s="11">
        <f>IF(V22="","",V22/R22)</f>
        <v/>
      </c>
      <c r="Y22" s="8">
        <f>IF(OR($E22="",L22=""),"",IF($E22="LONG",L22-K22,K22-L22))</f>
        <v/>
      </c>
      <c r="AP22" s="7" t="n"/>
    </row>
    <row r="23">
      <c r="H23" s="7" t="n"/>
      <c r="I23" s="7" t="n"/>
      <c r="J23" s="8">
        <f>IF($E23="","",MAX(Settings!$B$7,ROUND(Settings!$B$8*IF($E23="LONG",H23,I23),2)))</f>
        <v/>
      </c>
      <c r="K23" s="8">
        <f>IF($E23="","",IF($E23="LONG",H23+J23,I23-J23))</f>
        <v/>
      </c>
      <c r="L23" s="7" t="n"/>
      <c r="M23" s="8">
        <f>IF($E23="","",IF($E23="LONG",K23-O23,K23+O23))</f>
        <v/>
      </c>
      <c r="N23" s="7" t="n"/>
      <c r="O23" s="8">
        <f>IF(OR($E23="",AP23=""),"",ROUNDUP(ROUND(MAX(IF($E23="LONG",K23-I23,H23-K23),Settings!$B$9*AP23),6),2))</f>
        <v/>
      </c>
      <c r="P23" s="8">
        <f>IF($E23="","",N23*Settings!$B$4)</f>
        <v/>
      </c>
      <c r="Q23" s="9">
        <f>IF(O23="","",MIN(INT(ROUND(P23/O23,6)),INT(ROUND(Settings!$B$5/K23,6))))</f>
        <v/>
      </c>
      <c r="R23" s="8">
        <f>IF(O23="","",Q23*O23)</f>
        <v/>
      </c>
      <c r="S23" s="8">
        <f>IF(O23="","",IF($E23="LONG",K23+Settings!$B$6*O23,K23-Settings!$B$6*O23))</f>
        <v/>
      </c>
      <c r="T23" s="7" t="n"/>
      <c r="V23" s="8">
        <f>IF(OR($E23="",T23=""),"",IF($E23="LONG",(T23-L23)*Q23,(L23-T23)*Q23))</f>
        <v/>
      </c>
      <c r="W23" s="10">
        <f>IF(V23="","",V23/N23)</f>
        <v/>
      </c>
      <c r="X23" s="11">
        <f>IF(V23="","",V23/R23)</f>
        <v/>
      </c>
      <c r="Y23" s="8">
        <f>IF(OR($E23="",L23=""),"",IF($E23="LONG",L23-K23,K23-L23))</f>
        <v/>
      </c>
      <c r="AP23" s="7" t="n"/>
    </row>
    <row r="24">
      <c r="H24" s="7" t="n"/>
      <c r="I24" s="7" t="n"/>
      <c r="J24" s="8">
        <f>IF($E24="","",MAX(Settings!$B$7,ROUND(Settings!$B$8*IF($E24="LONG",H24,I24),2)))</f>
        <v/>
      </c>
      <c r="K24" s="8">
        <f>IF($E24="","",IF($E24="LONG",H24+J24,I24-J24))</f>
        <v/>
      </c>
      <c r="L24" s="7" t="n"/>
      <c r="M24" s="8">
        <f>IF($E24="","",IF($E24="LONG",K24-O24,K24+O24))</f>
        <v/>
      </c>
      <c r="N24" s="7" t="n"/>
      <c r="O24" s="8">
        <f>IF(OR($E24="",AP24=""),"",ROUNDUP(ROUND(MAX(IF($E24="LONG",K24-I24,H24-K24),Settings!$B$9*AP24),6),2))</f>
        <v/>
      </c>
      <c r="P24" s="8">
        <f>IF($E24="","",N24*Settings!$B$4)</f>
        <v/>
      </c>
      <c r="Q24" s="9">
        <f>IF(O24="","",MIN(INT(ROUND(P24/O24,6)),INT(ROUND(Settings!$B$5/K24,6))))</f>
        <v/>
      </c>
      <c r="R24" s="8">
        <f>IF(O24="","",Q24*O24)</f>
        <v/>
      </c>
      <c r="S24" s="8">
        <f>IF(O24="","",IF($E24="LONG",K24+Settings!$B$6*O24,K24-Settings!$B$6*O24))</f>
        <v/>
      </c>
      <c r="T24" s="7" t="n"/>
      <c r="V24" s="8">
        <f>IF(OR($E24="",T24=""),"",IF($E24="LONG",(T24-L24)*Q24,(L24-T24)*Q24))</f>
        <v/>
      </c>
      <c r="W24" s="10">
        <f>IF(V24="","",V24/N24)</f>
        <v/>
      </c>
      <c r="X24" s="11">
        <f>IF(V24="","",V24/R24)</f>
        <v/>
      </c>
      <c r="Y24" s="8">
        <f>IF(OR($E24="",L24=""),"",IF($E24="LONG",L24-K24,K24-L24))</f>
        <v/>
      </c>
      <c r="AP24" s="7" t="n"/>
    </row>
    <row r="25">
      <c r="H25" s="7" t="n"/>
      <c r="I25" s="7" t="n"/>
      <c r="J25" s="8">
        <f>IF($E25="","",MAX(Settings!$B$7,ROUND(Settings!$B$8*IF($E25="LONG",H25,I25),2)))</f>
        <v/>
      </c>
      <c r="K25" s="8">
        <f>IF($E25="","",IF($E25="LONG",H25+J25,I25-J25))</f>
        <v/>
      </c>
      <c r="L25" s="7" t="n"/>
      <c r="M25" s="8">
        <f>IF($E25="","",IF($E25="LONG",K25-O25,K25+O25))</f>
        <v/>
      </c>
      <c r="N25" s="7" t="n"/>
      <c r="O25" s="8">
        <f>IF(OR($E25="",AP25=""),"",ROUNDUP(ROUND(MAX(IF($E25="LONG",K25-I25,H25-K25),Settings!$B$9*AP25),6),2))</f>
        <v/>
      </c>
      <c r="P25" s="8">
        <f>IF($E25="","",N25*Settings!$B$4)</f>
        <v/>
      </c>
      <c r="Q25" s="9">
        <f>IF(O25="","",MIN(INT(ROUND(P25/O25,6)),INT(ROUND(Settings!$B$5/K25,6))))</f>
        <v/>
      </c>
      <c r="R25" s="8">
        <f>IF(O25="","",Q25*O25)</f>
        <v/>
      </c>
      <c r="S25" s="8">
        <f>IF(O25="","",IF($E25="LONG",K25+Settings!$B$6*O25,K25-Settings!$B$6*O25))</f>
        <v/>
      </c>
      <c r="T25" s="7" t="n"/>
      <c r="V25" s="8">
        <f>IF(OR($E25="",T25=""),"",IF($E25="LONG",(T25-L25)*Q25,(L25-T25)*Q25))</f>
        <v/>
      </c>
      <c r="W25" s="10">
        <f>IF(V25="","",V25/N25)</f>
        <v/>
      </c>
      <c r="X25" s="11">
        <f>IF(V25="","",V25/R25)</f>
        <v/>
      </c>
      <c r="Y25" s="8">
        <f>IF(OR($E25="",L25=""),"",IF($E25="LONG",L25-K25,K25-L25))</f>
        <v/>
      </c>
      <c r="AP25" s="7" t="n"/>
    </row>
    <row r="26">
      <c r="H26" s="7" t="n"/>
      <c r="I26" s="7" t="n"/>
      <c r="J26" s="8">
        <f>IF($E26="","",MAX(Settings!$B$7,ROUND(Settings!$B$8*IF($E26="LONG",H26,I26),2)))</f>
        <v/>
      </c>
      <c r="K26" s="8">
        <f>IF($E26="","",IF($E26="LONG",H26+J26,I26-J26))</f>
        <v/>
      </c>
      <c r="L26" s="7" t="n"/>
      <c r="M26" s="8">
        <f>IF($E26="","",IF($E26="LONG",K26-O26,K26+O26))</f>
        <v/>
      </c>
      <c r="N26" s="7" t="n"/>
      <c r="O26" s="8">
        <f>IF(OR($E26="",AP26=""),"",ROUNDUP(ROUND(MAX(IF($E26="LONG",K26-I26,H26-K26),Settings!$B$9*AP26),6),2))</f>
        <v/>
      </c>
      <c r="P26" s="8">
        <f>IF($E26="","",N26*Settings!$B$4)</f>
        <v/>
      </c>
      <c r="Q26" s="9">
        <f>IF(O26="","",MIN(INT(ROUND(P26/O26,6)),INT(ROUND(Settings!$B$5/K26,6))))</f>
        <v/>
      </c>
      <c r="R26" s="8">
        <f>IF(O26="","",Q26*O26)</f>
        <v/>
      </c>
      <c r="S26" s="8">
        <f>IF(O26="","",IF($E26="LONG",K26+Settings!$B$6*O26,K26-Settings!$B$6*O26))</f>
        <v/>
      </c>
      <c r="T26" s="7" t="n"/>
      <c r="V26" s="8">
        <f>IF(OR($E26="",T26=""),"",IF($E26="LONG",(T26-L26)*Q26,(L26-T26)*Q26))</f>
        <v/>
      </c>
      <c r="W26" s="10">
        <f>IF(V26="","",V26/N26)</f>
        <v/>
      </c>
      <c r="X26" s="11">
        <f>IF(V26="","",V26/R26)</f>
        <v/>
      </c>
      <c r="Y26" s="8">
        <f>IF(OR($E26="",L26=""),"",IF($E26="LONG",L26-K26,K26-L26))</f>
        <v/>
      </c>
      <c r="AP26" s="7" t="n"/>
    </row>
    <row r="27">
      <c r="H27" s="7" t="n"/>
      <c r="I27" s="7" t="n"/>
      <c r="J27" s="8">
        <f>IF($E27="","",MAX(Settings!$B$7,ROUND(Settings!$B$8*IF($E27="LONG",H27,I27),2)))</f>
        <v/>
      </c>
      <c r="K27" s="8">
        <f>IF($E27="","",IF($E27="LONG",H27+J27,I27-J27))</f>
        <v/>
      </c>
      <c r="L27" s="7" t="n"/>
      <c r="M27" s="8">
        <f>IF($E27="","",IF($E27="LONG",K27-O27,K27+O27))</f>
        <v/>
      </c>
      <c r="N27" s="7" t="n"/>
      <c r="O27" s="8">
        <f>IF(OR($E27="",AP27=""),"",ROUNDUP(ROUND(MAX(IF($E27="LONG",K27-I27,H27-K27),Settings!$B$9*AP27),6),2))</f>
        <v/>
      </c>
      <c r="P27" s="8">
        <f>IF($E27="","",N27*Settings!$B$4)</f>
        <v/>
      </c>
      <c r="Q27" s="9">
        <f>IF(O27="","",MIN(INT(ROUND(P27/O27,6)),INT(ROUND(Settings!$B$5/K27,6))))</f>
        <v/>
      </c>
      <c r="R27" s="8">
        <f>IF(O27="","",Q27*O27)</f>
        <v/>
      </c>
      <c r="S27" s="8">
        <f>IF(O27="","",IF($E27="LONG",K27+Settings!$B$6*O27,K27-Settings!$B$6*O27))</f>
        <v/>
      </c>
      <c r="T27" s="7" t="n"/>
      <c r="V27" s="8">
        <f>IF(OR($E27="",T27=""),"",IF($E27="LONG",(T27-L27)*Q27,(L27-T27)*Q27))</f>
        <v/>
      </c>
      <c r="W27" s="10">
        <f>IF(V27="","",V27/N27)</f>
        <v/>
      </c>
      <c r="X27" s="11">
        <f>IF(V27="","",V27/R27)</f>
        <v/>
      </c>
      <c r="Y27" s="8">
        <f>IF(OR($E27="",L27=""),"",IF($E27="LONG",L27-K27,K27-L27))</f>
        <v/>
      </c>
      <c r="AP27" s="7" t="n"/>
    </row>
    <row r="28">
      <c r="H28" s="7" t="n"/>
      <c r="I28" s="7" t="n"/>
      <c r="J28" s="8">
        <f>IF($E28="","",MAX(Settings!$B$7,ROUND(Settings!$B$8*IF($E28="LONG",H28,I28),2)))</f>
        <v/>
      </c>
      <c r="K28" s="8">
        <f>IF($E28="","",IF($E28="LONG",H28+J28,I28-J28))</f>
        <v/>
      </c>
      <c r="L28" s="7" t="n"/>
      <c r="M28" s="8">
        <f>IF($E28="","",IF($E28="LONG",K28-O28,K28+O28))</f>
        <v/>
      </c>
      <c r="N28" s="7" t="n"/>
      <c r="O28" s="8">
        <f>IF(OR($E28="",AP28=""),"",ROUNDUP(ROUND(MAX(IF($E28="LONG",K28-I28,H28-K28),Settings!$B$9*AP28),6),2))</f>
        <v/>
      </c>
      <c r="P28" s="8">
        <f>IF($E28="","",N28*Settings!$B$4)</f>
        <v/>
      </c>
      <c r="Q28" s="9">
        <f>IF(O28="","",MIN(INT(ROUND(P28/O28,6)),INT(ROUND(Settings!$B$5/K28,6))))</f>
        <v/>
      </c>
      <c r="R28" s="8">
        <f>IF(O28="","",Q28*O28)</f>
        <v/>
      </c>
      <c r="S28" s="8">
        <f>IF(O28="","",IF($E28="LONG",K28+Settings!$B$6*O28,K28-Settings!$B$6*O28))</f>
        <v/>
      </c>
      <c r="T28" s="7" t="n"/>
      <c r="V28" s="8">
        <f>IF(OR($E28="",T28=""),"",IF($E28="LONG",(T28-L28)*Q28,(L28-T28)*Q28))</f>
        <v/>
      </c>
      <c r="W28" s="10">
        <f>IF(V28="","",V28/N28)</f>
        <v/>
      </c>
      <c r="X28" s="11">
        <f>IF(V28="","",V28/R28)</f>
        <v/>
      </c>
      <c r="Y28" s="8">
        <f>IF(OR($E28="",L28=""),"",IF($E28="LONG",L28-K28,K28-L28))</f>
        <v/>
      </c>
      <c r="AP28" s="7" t="n"/>
    </row>
    <row r="29">
      <c r="H29" s="7" t="n"/>
      <c r="I29" s="7" t="n"/>
      <c r="J29" s="8">
        <f>IF($E29="","",MAX(Settings!$B$7,ROUND(Settings!$B$8*IF($E29="LONG",H29,I29),2)))</f>
        <v/>
      </c>
      <c r="K29" s="8">
        <f>IF($E29="","",IF($E29="LONG",H29+J29,I29-J29))</f>
        <v/>
      </c>
      <c r="L29" s="7" t="n"/>
      <c r="M29" s="8">
        <f>IF($E29="","",IF($E29="LONG",K29-O29,K29+O29))</f>
        <v/>
      </c>
      <c r="N29" s="7" t="n"/>
      <c r="O29" s="8">
        <f>IF(OR($E29="",AP29=""),"",ROUNDUP(ROUND(MAX(IF($E29="LONG",K29-I29,H29-K29),Settings!$B$9*AP29),6),2))</f>
        <v/>
      </c>
      <c r="P29" s="8">
        <f>IF($E29="","",N29*Settings!$B$4)</f>
        <v/>
      </c>
      <c r="Q29" s="9">
        <f>IF(O29="","",MIN(INT(ROUND(P29/O29,6)),INT(ROUND(Settings!$B$5/K29,6))))</f>
        <v/>
      </c>
      <c r="R29" s="8">
        <f>IF(O29="","",Q29*O29)</f>
        <v/>
      </c>
      <c r="S29" s="8">
        <f>IF(O29="","",IF($E29="LONG",K29+Settings!$B$6*O29,K29-Settings!$B$6*O29))</f>
        <v/>
      </c>
      <c r="T29" s="7" t="n"/>
      <c r="V29" s="8">
        <f>IF(OR($E29="",T29=""),"",IF($E29="LONG",(T29-L29)*Q29,(L29-T29)*Q29))</f>
        <v/>
      </c>
      <c r="W29" s="10">
        <f>IF(V29="","",V29/N29)</f>
        <v/>
      </c>
      <c r="X29" s="11">
        <f>IF(V29="","",V29/R29)</f>
        <v/>
      </c>
      <c r="Y29" s="8">
        <f>IF(OR($E29="",L29=""),"",IF($E29="LONG",L29-K29,K29-L29))</f>
        <v/>
      </c>
      <c r="AP29" s="7" t="n"/>
    </row>
    <row r="30">
      <c r="H30" s="7" t="n"/>
      <c r="I30" s="7" t="n"/>
      <c r="J30" s="8">
        <f>IF($E30="","",MAX(Settings!$B$7,ROUND(Settings!$B$8*IF($E30="LONG",H30,I30),2)))</f>
        <v/>
      </c>
      <c r="K30" s="8">
        <f>IF($E30="","",IF($E30="LONG",H30+J30,I30-J30))</f>
        <v/>
      </c>
      <c r="L30" s="7" t="n"/>
      <c r="M30" s="8">
        <f>IF($E30="","",IF($E30="LONG",K30-O30,K30+O30))</f>
        <v/>
      </c>
      <c r="N30" s="7" t="n"/>
      <c r="O30" s="8">
        <f>IF(OR($E30="",AP30=""),"",ROUNDUP(ROUND(MAX(IF($E30="LONG",K30-I30,H30-K30),Settings!$B$9*AP30),6),2))</f>
        <v/>
      </c>
      <c r="P30" s="8">
        <f>IF($E30="","",N30*Settings!$B$4)</f>
        <v/>
      </c>
      <c r="Q30" s="9">
        <f>IF(O30="","",MIN(INT(ROUND(P30/O30,6)),INT(ROUND(Settings!$B$5/K30,6))))</f>
        <v/>
      </c>
      <c r="R30" s="8">
        <f>IF(O30="","",Q30*O30)</f>
        <v/>
      </c>
      <c r="S30" s="8">
        <f>IF(O30="","",IF($E30="LONG",K30+Settings!$B$6*O30,K30-Settings!$B$6*O30))</f>
        <v/>
      </c>
      <c r="T30" s="7" t="n"/>
      <c r="V30" s="8">
        <f>IF(OR($E30="",T30=""),"",IF($E30="LONG",(T30-L30)*Q30,(L30-T30)*Q30))</f>
        <v/>
      </c>
      <c r="W30" s="10">
        <f>IF(V30="","",V30/N30)</f>
        <v/>
      </c>
      <c r="X30" s="11">
        <f>IF(V30="","",V30/R30)</f>
        <v/>
      </c>
      <c r="Y30" s="8">
        <f>IF(OR($E30="",L30=""),"",IF($E30="LONG",L30-K30,K30-L30))</f>
        <v/>
      </c>
      <c r="AP30" s="7" t="n"/>
    </row>
    <row r="31">
      <c r="H31" s="7" t="n"/>
      <c r="I31" s="7" t="n"/>
      <c r="J31" s="8">
        <f>IF($E31="","",MAX(Settings!$B$7,ROUND(Settings!$B$8*IF($E31="LONG",H31,I31),2)))</f>
        <v/>
      </c>
      <c r="K31" s="8">
        <f>IF($E31="","",IF($E31="LONG",H31+J31,I31-J31))</f>
        <v/>
      </c>
      <c r="L31" s="7" t="n"/>
      <c r="M31" s="8">
        <f>IF($E31="","",IF($E31="LONG",K31-O31,K31+O31))</f>
        <v/>
      </c>
      <c r="N31" s="7" t="n"/>
      <c r="O31" s="8">
        <f>IF(OR($E31="",AP31=""),"",ROUNDUP(ROUND(MAX(IF($E31="LONG",K31-I31,H31-K31),Settings!$B$9*AP31),6),2))</f>
        <v/>
      </c>
      <c r="P31" s="8">
        <f>IF($E31="","",N31*Settings!$B$4)</f>
        <v/>
      </c>
      <c r="Q31" s="9">
        <f>IF(O31="","",MIN(INT(ROUND(P31/O31,6)),INT(ROUND(Settings!$B$5/K31,6))))</f>
        <v/>
      </c>
      <c r="R31" s="8">
        <f>IF(O31="","",Q31*O31)</f>
        <v/>
      </c>
      <c r="S31" s="8">
        <f>IF(O31="","",IF($E31="LONG",K31+Settings!$B$6*O31,K31-Settings!$B$6*O31))</f>
        <v/>
      </c>
      <c r="T31" s="7" t="n"/>
      <c r="V31" s="8">
        <f>IF(OR($E31="",T31=""),"",IF($E31="LONG",(T31-L31)*Q31,(L31-T31)*Q31))</f>
        <v/>
      </c>
      <c r="W31" s="10">
        <f>IF(V31="","",V31/N31)</f>
        <v/>
      </c>
      <c r="X31" s="11">
        <f>IF(V31="","",V31/R31)</f>
        <v/>
      </c>
      <c r="Y31" s="8">
        <f>IF(OR($E31="",L31=""),"",IF($E31="LONG",L31-K31,K31-L31))</f>
        <v/>
      </c>
      <c r="AP31" s="7" t="n"/>
    </row>
    <row r="32">
      <c r="H32" s="7" t="n"/>
      <c r="I32" s="7" t="n"/>
      <c r="J32" s="8">
        <f>IF($E32="","",MAX(Settings!$B$7,ROUND(Settings!$B$8*IF($E32="LONG",H32,I32),2)))</f>
        <v/>
      </c>
      <c r="K32" s="8">
        <f>IF($E32="","",IF($E32="LONG",H32+J32,I32-J32))</f>
        <v/>
      </c>
      <c r="L32" s="7" t="n"/>
      <c r="M32" s="8">
        <f>IF($E32="","",IF($E32="LONG",K32-O32,K32+O32))</f>
        <v/>
      </c>
      <c r="N32" s="7" t="n"/>
      <c r="O32" s="8">
        <f>IF(OR($E32="",AP32=""),"",ROUNDUP(ROUND(MAX(IF($E32="LONG",K32-I32,H32-K32),Settings!$B$9*AP32),6),2))</f>
        <v/>
      </c>
      <c r="P32" s="8">
        <f>IF($E32="","",N32*Settings!$B$4)</f>
        <v/>
      </c>
      <c r="Q32" s="9">
        <f>IF(O32="","",MIN(INT(ROUND(P32/O32,6)),INT(ROUND(Settings!$B$5/K32,6))))</f>
        <v/>
      </c>
      <c r="R32" s="8">
        <f>IF(O32="","",Q32*O32)</f>
        <v/>
      </c>
      <c r="S32" s="8">
        <f>IF(O32="","",IF($E32="LONG",K32+Settings!$B$6*O32,K32-Settings!$B$6*O32))</f>
        <v/>
      </c>
      <c r="T32" s="7" t="n"/>
      <c r="V32" s="8">
        <f>IF(OR($E32="",T32=""),"",IF($E32="LONG",(T32-L32)*Q32,(L32-T32)*Q32))</f>
        <v/>
      </c>
      <c r="W32" s="10">
        <f>IF(V32="","",V32/N32)</f>
        <v/>
      </c>
      <c r="X32" s="11">
        <f>IF(V32="","",V32/R32)</f>
        <v/>
      </c>
      <c r="Y32" s="8">
        <f>IF(OR($E32="",L32=""),"",IF($E32="LONG",L32-K32,K32-L32))</f>
        <v/>
      </c>
      <c r="AP32" s="7" t="n"/>
    </row>
    <row r="33">
      <c r="H33" s="7" t="n"/>
      <c r="I33" s="7" t="n"/>
      <c r="J33" s="8">
        <f>IF($E33="","",MAX(Settings!$B$7,ROUND(Settings!$B$8*IF($E33="LONG",H33,I33),2)))</f>
        <v/>
      </c>
      <c r="K33" s="8">
        <f>IF($E33="","",IF($E33="LONG",H33+J33,I33-J33))</f>
        <v/>
      </c>
      <c r="L33" s="7" t="n"/>
      <c r="M33" s="8">
        <f>IF($E33="","",IF($E33="LONG",K33-O33,K33+O33))</f>
        <v/>
      </c>
      <c r="N33" s="7" t="n"/>
      <c r="O33" s="8">
        <f>IF(OR($E33="",AP33=""),"",ROUNDUP(ROUND(MAX(IF($E33="LONG",K33-I33,H33-K33),Settings!$B$9*AP33),6),2))</f>
        <v/>
      </c>
      <c r="P33" s="8">
        <f>IF($E33="","",N33*Settings!$B$4)</f>
        <v/>
      </c>
      <c r="Q33" s="9">
        <f>IF(O33="","",MIN(INT(ROUND(P33/O33,6)),INT(ROUND(Settings!$B$5/K33,6))))</f>
        <v/>
      </c>
      <c r="R33" s="8">
        <f>IF(O33="","",Q33*O33)</f>
        <v/>
      </c>
      <c r="S33" s="8">
        <f>IF(O33="","",IF($E33="LONG",K33+Settings!$B$6*O33,K33-Settings!$B$6*O33))</f>
        <v/>
      </c>
      <c r="T33" s="7" t="n"/>
      <c r="V33" s="8">
        <f>IF(OR($E33="",T33=""),"",IF($E33="LONG",(T33-L33)*Q33,(L33-T33)*Q33))</f>
        <v/>
      </c>
      <c r="W33" s="10">
        <f>IF(V33="","",V33/N33)</f>
        <v/>
      </c>
      <c r="X33" s="11">
        <f>IF(V33="","",V33/R33)</f>
        <v/>
      </c>
      <c r="Y33" s="8">
        <f>IF(OR($E33="",L33=""),"",IF($E33="LONG",L33-K33,K33-L33))</f>
        <v/>
      </c>
      <c r="AP33" s="7" t="n"/>
    </row>
    <row r="34">
      <c r="H34" s="7" t="n"/>
      <c r="I34" s="7" t="n"/>
      <c r="J34" s="8">
        <f>IF($E34="","",MAX(Settings!$B$7,ROUND(Settings!$B$8*IF($E34="LONG",H34,I34),2)))</f>
        <v/>
      </c>
      <c r="K34" s="8">
        <f>IF($E34="","",IF($E34="LONG",H34+J34,I34-J34))</f>
        <v/>
      </c>
      <c r="L34" s="7" t="n"/>
      <c r="M34" s="8">
        <f>IF($E34="","",IF($E34="LONG",K34-O34,K34+O34))</f>
        <v/>
      </c>
      <c r="N34" s="7" t="n"/>
      <c r="O34" s="8">
        <f>IF(OR($E34="",AP34=""),"",ROUNDUP(ROUND(MAX(IF($E34="LONG",K34-I34,H34-K34),Settings!$B$9*AP34),6),2))</f>
        <v/>
      </c>
      <c r="P34" s="8">
        <f>IF($E34="","",N34*Settings!$B$4)</f>
        <v/>
      </c>
      <c r="Q34" s="9">
        <f>IF(O34="","",MIN(INT(ROUND(P34/O34,6)),INT(ROUND(Settings!$B$5/K34,6))))</f>
        <v/>
      </c>
      <c r="R34" s="8">
        <f>IF(O34="","",Q34*O34)</f>
        <v/>
      </c>
      <c r="S34" s="8">
        <f>IF(O34="","",IF($E34="LONG",K34+Settings!$B$6*O34,K34-Settings!$B$6*O34))</f>
        <v/>
      </c>
      <c r="T34" s="7" t="n"/>
      <c r="V34" s="8">
        <f>IF(OR($E34="",T34=""),"",IF($E34="LONG",(T34-L34)*Q34,(L34-T34)*Q34))</f>
        <v/>
      </c>
      <c r="W34" s="10">
        <f>IF(V34="","",V34/N34)</f>
        <v/>
      </c>
      <c r="X34" s="11">
        <f>IF(V34="","",V34/R34)</f>
        <v/>
      </c>
      <c r="Y34" s="8">
        <f>IF(OR($E34="",L34=""),"",IF($E34="LONG",L34-K34,K34-L34))</f>
        <v/>
      </c>
      <c r="AP34" s="7" t="n"/>
    </row>
    <row r="35">
      <c r="H35" s="7" t="n"/>
      <c r="I35" s="7" t="n"/>
      <c r="J35" s="8">
        <f>IF($E35="","",MAX(Settings!$B$7,ROUND(Settings!$B$8*IF($E35="LONG",H35,I35),2)))</f>
        <v/>
      </c>
      <c r="K35" s="8">
        <f>IF($E35="","",IF($E35="LONG",H35+J35,I35-J35))</f>
        <v/>
      </c>
      <c r="L35" s="7" t="n"/>
      <c r="M35" s="8">
        <f>IF($E35="","",IF($E35="LONG",K35-O35,K35+O35))</f>
        <v/>
      </c>
      <c r="N35" s="7" t="n"/>
      <c r="O35" s="8">
        <f>IF(OR($E35="",AP35=""),"",ROUNDUP(ROUND(MAX(IF($E35="LONG",K35-I35,H35-K35),Settings!$B$9*AP35),6),2))</f>
        <v/>
      </c>
      <c r="P35" s="8">
        <f>IF($E35="","",N35*Settings!$B$4)</f>
        <v/>
      </c>
      <c r="Q35" s="9">
        <f>IF(O35="","",MIN(INT(ROUND(P35/O35,6)),INT(ROUND(Settings!$B$5/K35,6))))</f>
        <v/>
      </c>
      <c r="R35" s="8">
        <f>IF(O35="","",Q35*O35)</f>
        <v/>
      </c>
      <c r="S35" s="8">
        <f>IF(O35="","",IF($E35="LONG",K35+Settings!$B$6*O35,K35-Settings!$B$6*O35))</f>
        <v/>
      </c>
      <c r="T35" s="7" t="n"/>
      <c r="V35" s="8">
        <f>IF(OR($E35="",T35=""),"",IF($E35="LONG",(T35-L35)*Q35,(L35-T35)*Q35))</f>
        <v/>
      </c>
      <c r="W35" s="10">
        <f>IF(V35="","",V35/N35)</f>
        <v/>
      </c>
      <c r="X35" s="11">
        <f>IF(V35="","",V35/R35)</f>
        <v/>
      </c>
      <c r="Y35" s="8">
        <f>IF(OR($E35="",L35=""),"",IF($E35="LONG",L35-K35,K35-L35))</f>
        <v/>
      </c>
      <c r="AP35" s="7" t="n"/>
    </row>
    <row r="36">
      <c r="H36" s="7" t="n"/>
      <c r="I36" s="7" t="n"/>
      <c r="J36" s="8">
        <f>IF($E36="","",MAX(Settings!$B$7,ROUND(Settings!$B$8*IF($E36="LONG",H36,I36),2)))</f>
        <v/>
      </c>
      <c r="K36" s="8">
        <f>IF($E36="","",IF($E36="LONG",H36+J36,I36-J36))</f>
        <v/>
      </c>
      <c r="L36" s="7" t="n"/>
      <c r="M36" s="8">
        <f>IF($E36="","",IF($E36="LONG",K36-O36,K36+O36))</f>
        <v/>
      </c>
      <c r="N36" s="7" t="n"/>
      <c r="O36" s="8">
        <f>IF(OR($E36="",AP36=""),"",ROUNDUP(ROUND(MAX(IF($E36="LONG",K36-I36,H36-K36),Settings!$B$9*AP36),6),2))</f>
        <v/>
      </c>
      <c r="P36" s="8">
        <f>IF($E36="","",N36*Settings!$B$4)</f>
        <v/>
      </c>
      <c r="Q36" s="9">
        <f>IF(O36="","",MIN(INT(ROUND(P36/O36,6)),INT(ROUND(Settings!$B$5/K36,6))))</f>
        <v/>
      </c>
      <c r="R36" s="8">
        <f>IF(O36="","",Q36*O36)</f>
        <v/>
      </c>
      <c r="S36" s="8">
        <f>IF(O36="","",IF($E36="LONG",K36+Settings!$B$6*O36,K36-Settings!$B$6*O36))</f>
        <v/>
      </c>
      <c r="T36" s="7" t="n"/>
      <c r="V36" s="8">
        <f>IF(OR($E36="",T36=""),"",IF($E36="LONG",(T36-L36)*Q36,(L36-T36)*Q36))</f>
        <v/>
      </c>
      <c r="W36" s="10">
        <f>IF(V36="","",V36/N36)</f>
        <v/>
      </c>
      <c r="X36" s="11">
        <f>IF(V36="","",V36/R36)</f>
        <v/>
      </c>
      <c r="Y36" s="8">
        <f>IF(OR($E36="",L36=""),"",IF($E36="LONG",L36-K36,K36-L36))</f>
        <v/>
      </c>
      <c r="AP36" s="7" t="n"/>
    </row>
    <row r="37">
      <c r="H37" s="7" t="n"/>
      <c r="I37" s="7" t="n"/>
      <c r="J37" s="8">
        <f>IF($E37="","",MAX(Settings!$B$7,ROUND(Settings!$B$8*IF($E37="LONG",H37,I37),2)))</f>
        <v/>
      </c>
      <c r="K37" s="8">
        <f>IF($E37="","",IF($E37="LONG",H37+J37,I37-J37))</f>
        <v/>
      </c>
      <c r="L37" s="7" t="n"/>
      <c r="M37" s="8">
        <f>IF($E37="","",IF($E37="LONG",K37-O37,K37+O37))</f>
        <v/>
      </c>
      <c r="N37" s="7" t="n"/>
      <c r="O37" s="8">
        <f>IF(OR($E37="",AP37=""),"",ROUNDUP(ROUND(MAX(IF($E37="LONG",K37-I37,H37-K37),Settings!$B$9*AP37),6),2))</f>
        <v/>
      </c>
      <c r="P37" s="8">
        <f>IF($E37="","",N37*Settings!$B$4)</f>
        <v/>
      </c>
      <c r="Q37" s="9">
        <f>IF(O37="","",MIN(INT(ROUND(P37/O37,6)),INT(ROUND(Settings!$B$5/K37,6))))</f>
        <v/>
      </c>
      <c r="R37" s="8">
        <f>IF(O37="","",Q37*O37)</f>
        <v/>
      </c>
      <c r="S37" s="8">
        <f>IF(O37="","",IF($E37="LONG",K37+Settings!$B$6*O37,K37-Settings!$B$6*O37))</f>
        <v/>
      </c>
      <c r="T37" s="7" t="n"/>
      <c r="V37" s="8">
        <f>IF(OR($E37="",T37=""),"",IF($E37="LONG",(T37-L37)*Q37,(L37-T37)*Q37))</f>
        <v/>
      </c>
      <c r="W37" s="10">
        <f>IF(V37="","",V37/N37)</f>
        <v/>
      </c>
      <c r="X37" s="11">
        <f>IF(V37="","",V37/R37)</f>
        <v/>
      </c>
      <c r="Y37" s="8">
        <f>IF(OR($E37="",L37=""),"",IF($E37="LONG",L37-K37,K37-L37))</f>
        <v/>
      </c>
      <c r="AP37" s="7" t="n"/>
    </row>
    <row r="38">
      <c r="H38" s="7" t="n"/>
      <c r="I38" s="7" t="n"/>
      <c r="J38" s="8">
        <f>IF($E38="","",MAX(Settings!$B$7,ROUND(Settings!$B$8*IF($E38="LONG",H38,I38),2)))</f>
        <v/>
      </c>
      <c r="K38" s="8">
        <f>IF($E38="","",IF($E38="LONG",H38+J38,I38-J38))</f>
        <v/>
      </c>
      <c r="L38" s="7" t="n"/>
      <c r="M38" s="8">
        <f>IF($E38="","",IF($E38="LONG",K38-O38,K38+O38))</f>
        <v/>
      </c>
      <c r="N38" s="7" t="n"/>
      <c r="O38" s="8">
        <f>IF(OR($E38="",AP38=""),"",ROUNDUP(ROUND(MAX(IF($E38="LONG",K38-I38,H38-K38),Settings!$B$9*AP38),6),2))</f>
        <v/>
      </c>
      <c r="P38" s="8">
        <f>IF($E38="","",N38*Settings!$B$4)</f>
        <v/>
      </c>
      <c r="Q38" s="9">
        <f>IF(O38="","",MIN(INT(ROUND(P38/O38,6)),INT(ROUND(Settings!$B$5/K38,6))))</f>
        <v/>
      </c>
      <c r="R38" s="8">
        <f>IF(O38="","",Q38*O38)</f>
        <v/>
      </c>
      <c r="S38" s="8">
        <f>IF(O38="","",IF($E38="LONG",K38+Settings!$B$6*O38,K38-Settings!$B$6*O38))</f>
        <v/>
      </c>
      <c r="T38" s="7" t="n"/>
      <c r="V38" s="8">
        <f>IF(OR($E38="",T38=""),"",IF($E38="LONG",(T38-L38)*Q38,(L38-T38)*Q38))</f>
        <v/>
      </c>
      <c r="W38" s="10">
        <f>IF(V38="","",V38/N38)</f>
        <v/>
      </c>
      <c r="X38" s="11">
        <f>IF(V38="","",V38/R38)</f>
        <v/>
      </c>
      <c r="Y38" s="8">
        <f>IF(OR($E38="",L38=""),"",IF($E38="LONG",L38-K38,K38-L38))</f>
        <v/>
      </c>
      <c r="AP38" s="7" t="n"/>
    </row>
    <row r="39">
      <c r="H39" s="7" t="n"/>
      <c r="I39" s="7" t="n"/>
      <c r="J39" s="8">
        <f>IF($E39="","",MAX(Settings!$B$7,ROUND(Settings!$B$8*IF($E39="LONG",H39,I39),2)))</f>
        <v/>
      </c>
      <c r="K39" s="8">
        <f>IF($E39="","",IF($E39="LONG",H39+J39,I39-J39))</f>
        <v/>
      </c>
      <c r="L39" s="7" t="n"/>
      <c r="M39" s="8">
        <f>IF($E39="","",IF($E39="LONG",K39-O39,K39+O39))</f>
        <v/>
      </c>
      <c r="N39" s="7" t="n"/>
      <c r="O39" s="8">
        <f>IF(OR($E39="",AP39=""),"",ROUNDUP(ROUND(MAX(IF($E39="LONG",K39-I39,H39-K39),Settings!$B$9*AP39),6),2))</f>
        <v/>
      </c>
      <c r="P39" s="8">
        <f>IF($E39="","",N39*Settings!$B$4)</f>
        <v/>
      </c>
      <c r="Q39" s="9">
        <f>IF(O39="","",MIN(INT(ROUND(P39/O39,6)),INT(ROUND(Settings!$B$5/K39,6))))</f>
        <v/>
      </c>
      <c r="R39" s="8">
        <f>IF(O39="","",Q39*O39)</f>
        <v/>
      </c>
      <c r="S39" s="8">
        <f>IF(O39="","",IF($E39="LONG",K39+Settings!$B$6*O39,K39-Settings!$B$6*O39))</f>
        <v/>
      </c>
      <c r="T39" s="7" t="n"/>
      <c r="V39" s="8">
        <f>IF(OR($E39="",T39=""),"",IF($E39="LONG",(T39-L39)*Q39,(L39-T39)*Q39))</f>
        <v/>
      </c>
      <c r="W39" s="10">
        <f>IF(V39="","",V39/N39)</f>
        <v/>
      </c>
      <c r="X39" s="11">
        <f>IF(V39="","",V39/R39)</f>
        <v/>
      </c>
      <c r="Y39" s="8">
        <f>IF(OR($E39="",L39=""),"",IF($E39="LONG",L39-K39,K39-L39))</f>
        <v/>
      </c>
      <c r="AP39" s="7" t="n"/>
    </row>
    <row r="40">
      <c r="H40" s="7" t="n"/>
      <c r="I40" s="7" t="n"/>
      <c r="J40" s="8">
        <f>IF($E40="","",MAX(Settings!$B$7,ROUND(Settings!$B$8*IF($E40="LONG",H40,I40),2)))</f>
        <v/>
      </c>
      <c r="K40" s="8">
        <f>IF($E40="","",IF($E40="LONG",H40+J40,I40-J40))</f>
        <v/>
      </c>
      <c r="L40" s="7" t="n"/>
      <c r="M40" s="8">
        <f>IF($E40="","",IF($E40="LONG",K40-O40,K40+O40))</f>
        <v/>
      </c>
      <c r="N40" s="7" t="n"/>
      <c r="O40" s="8">
        <f>IF(OR($E40="",AP40=""),"",ROUNDUP(ROUND(MAX(IF($E40="LONG",K40-I40,H40-K40),Settings!$B$9*AP40),6),2))</f>
        <v/>
      </c>
      <c r="P40" s="8">
        <f>IF($E40="","",N40*Settings!$B$4)</f>
        <v/>
      </c>
      <c r="Q40" s="9">
        <f>IF(O40="","",MIN(INT(ROUND(P40/O40,6)),INT(ROUND(Settings!$B$5/K40,6))))</f>
        <v/>
      </c>
      <c r="R40" s="8">
        <f>IF(O40="","",Q40*O40)</f>
        <v/>
      </c>
      <c r="S40" s="8">
        <f>IF(O40="","",IF($E40="LONG",K40+Settings!$B$6*O40,K40-Settings!$B$6*O40))</f>
        <v/>
      </c>
      <c r="T40" s="7" t="n"/>
      <c r="V40" s="8">
        <f>IF(OR($E40="",T40=""),"",IF($E40="LONG",(T40-L40)*Q40,(L40-T40)*Q40))</f>
        <v/>
      </c>
      <c r="W40" s="10">
        <f>IF(V40="","",V40/N40)</f>
        <v/>
      </c>
      <c r="X40" s="11">
        <f>IF(V40="","",V40/R40)</f>
        <v/>
      </c>
      <c r="Y40" s="8">
        <f>IF(OR($E40="",L40=""),"",IF($E40="LONG",L40-K40,K40-L40))</f>
        <v/>
      </c>
      <c r="AP40" s="7" t="n"/>
    </row>
    <row r="41">
      <c r="H41" s="7" t="n"/>
      <c r="I41" s="7" t="n"/>
      <c r="J41" s="8">
        <f>IF($E41="","",MAX(Settings!$B$7,ROUND(Settings!$B$8*IF($E41="LONG",H41,I41),2)))</f>
        <v/>
      </c>
      <c r="K41" s="8">
        <f>IF($E41="","",IF($E41="LONG",H41+J41,I41-J41))</f>
        <v/>
      </c>
      <c r="L41" s="7" t="n"/>
      <c r="M41" s="8">
        <f>IF($E41="","",IF($E41="LONG",K41-O41,K41+O41))</f>
        <v/>
      </c>
      <c r="N41" s="7" t="n"/>
      <c r="O41" s="8">
        <f>IF(OR($E41="",AP41=""),"",ROUNDUP(ROUND(MAX(IF($E41="LONG",K41-I41,H41-K41),Settings!$B$9*AP41),6),2))</f>
        <v/>
      </c>
      <c r="P41" s="8">
        <f>IF($E41="","",N41*Settings!$B$4)</f>
        <v/>
      </c>
      <c r="Q41" s="9">
        <f>IF(O41="","",MIN(INT(ROUND(P41/O41,6)),INT(ROUND(Settings!$B$5/K41,6))))</f>
        <v/>
      </c>
      <c r="R41" s="8">
        <f>IF(O41="","",Q41*O41)</f>
        <v/>
      </c>
      <c r="S41" s="8">
        <f>IF(O41="","",IF($E41="LONG",K41+Settings!$B$6*O41,K41-Settings!$B$6*O41))</f>
        <v/>
      </c>
      <c r="T41" s="7" t="n"/>
      <c r="V41" s="8">
        <f>IF(OR($E41="",T41=""),"",IF($E41="LONG",(T41-L41)*Q41,(L41-T41)*Q41))</f>
        <v/>
      </c>
      <c r="W41" s="10">
        <f>IF(V41="","",V41/N41)</f>
        <v/>
      </c>
      <c r="X41" s="11">
        <f>IF(V41="","",V41/R41)</f>
        <v/>
      </c>
      <c r="Y41" s="8">
        <f>IF(OR($E41="",L41=""),"",IF($E41="LONG",L41-K41,K41-L41))</f>
        <v/>
      </c>
      <c r="AP41" s="7" t="n"/>
    </row>
    <row r="42">
      <c r="H42" s="7" t="n"/>
      <c r="I42" s="7" t="n"/>
      <c r="J42" s="8">
        <f>IF($E42="","",MAX(Settings!$B$7,ROUND(Settings!$B$8*IF($E42="LONG",H42,I42),2)))</f>
        <v/>
      </c>
      <c r="K42" s="8">
        <f>IF($E42="","",IF($E42="LONG",H42+J42,I42-J42))</f>
        <v/>
      </c>
      <c r="L42" s="7" t="n"/>
      <c r="M42" s="8">
        <f>IF($E42="","",IF($E42="LONG",K42-O42,K42+O42))</f>
        <v/>
      </c>
      <c r="N42" s="7" t="n"/>
      <c r="O42" s="8">
        <f>IF(OR($E42="",AP42=""),"",ROUNDUP(ROUND(MAX(IF($E42="LONG",K42-I42,H42-K42),Settings!$B$9*AP42),6),2))</f>
        <v/>
      </c>
      <c r="P42" s="8">
        <f>IF($E42="","",N42*Settings!$B$4)</f>
        <v/>
      </c>
      <c r="Q42" s="9">
        <f>IF(O42="","",MIN(INT(ROUND(P42/O42,6)),INT(ROUND(Settings!$B$5/K42,6))))</f>
        <v/>
      </c>
      <c r="R42" s="8">
        <f>IF(O42="","",Q42*O42)</f>
        <v/>
      </c>
      <c r="S42" s="8">
        <f>IF(O42="","",IF($E42="LONG",K42+Settings!$B$6*O42,K42-Settings!$B$6*O42))</f>
        <v/>
      </c>
      <c r="T42" s="7" t="n"/>
      <c r="V42" s="8">
        <f>IF(OR($E42="",T42=""),"",IF($E42="LONG",(T42-L42)*Q42,(L42-T42)*Q42))</f>
        <v/>
      </c>
      <c r="W42" s="10">
        <f>IF(V42="","",V42/N42)</f>
        <v/>
      </c>
      <c r="X42" s="11">
        <f>IF(V42="","",V42/R42)</f>
        <v/>
      </c>
      <c r="Y42" s="8">
        <f>IF(OR($E42="",L42=""),"",IF($E42="LONG",L42-K42,K42-L42))</f>
        <v/>
      </c>
      <c r="AP42" s="7" t="n"/>
    </row>
    <row r="43">
      <c r="H43" s="7" t="n"/>
      <c r="I43" s="7" t="n"/>
      <c r="J43" s="8">
        <f>IF($E43="","",MAX(Settings!$B$7,ROUND(Settings!$B$8*IF($E43="LONG",H43,I43),2)))</f>
        <v/>
      </c>
      <c r="K43" s="8">
        <f>IF($E43="","",IF($E43="LONG",H43+J43,I43-J43))</f>
        <v/>
      </c>
      <c r="L43" s="7" t="n"/>
      <c r="M43" s="8">
        <f>IF($E43="","",IF($E43="LONG",K43-O43,K43+O43))</f>
        <v/>
      </c>
      <c r="N43" s="7" t="n"/>
      <c r="O43" s="8">
        <f>IF(OR($E43="",AP43=""),"",ROUNDUP(ROUND(MAX(IF($E43="LONG",K43-I43,H43-K43),Settings!$B$9*AP43),6),2))</f>
        <v/>
      </c>
      <c r="P43" s="8">
        <f>IF($E43="","",N43*Settings!$B$4)</f>
        <v/>
      </c>
      <c r="Q43" s="9">
        <f>IF(O43="","",MIN(INT(ROUND(P43/O43,6)),INT(ROUND(Settings!$B$5/K43,6))))</f>
        <v/>
      </c>
      <c r="R43" s="8">
        <f>IF(O43="","",Q43*O43)</f>
        <v/>
      </c>
      <c r="S43" s="8">
        <f>IF(O43="","",IF($E43="LONG",K43+Settings!$B$6*O43,K43-Settings!$B$6*O43))</f>
        <v/>
      </c>
      <c r="T43" s="7" t="n"/>
      <c r="V43" s="8">
        <f>IF(OR($E43="",T43=""),"",IF($E43="LONG",(T43-L43)*Q43,(L43-T43)*Q43))</f>
        <v/>
      </c>
      <c r="W43" s="10">
        <f>IF(V43="","",V43/N43)</f>
        <v/>
      </c>
      <c r="X43" s="11">
        <f>IF(V43="","",V43/R43)</f>
        <v/>
      </c>
      <c r="Y43" s="8">
        <f>IF(OR($E43="",L43=""),"",IF($E43="LONG",L43-K43,K43-L43))</f>
        <v/>
      </c>
      <c r="AP43" s="7" t="n"/>
    </row>
    <row r="44">
      <c r="H44" s="7" t="n"/>
      <c r="I44" s="7" t="n"/>
      <c r="J44" s="8">
        <f>IF($E44="","",MAX(Settings!$B$7,ROUND(Settings!$B$8*IF($E44="LONG",H44,I44),2)))</f>
        <v/>
      </c>
      <c r="K44" s="8">
        <f>IF($E44="","",IF($E44="LONG",H44+J44,I44-J44))</f>
        <v/>
      </c>
      <c r="L44" s="7" t="n"/>
      <c r="M44" s="8">
        <f>IF($E44="","",IF($E44="LONG",K44-O44,K44+O44))</f>
        <v/>
      </c>
      <c r="N44" s="7" t="n"/>
      <c r="O44" s="8">
        <f>IF(OR($E44="",AP44=""),"",ROUNDUP(ROUND(MAX(IF($E44="LONG",K44-I44,H44-K44),Settings!$B$9*AP44),6),2))</f>
        <v/>
      </c>
      <c r="P44" s="8">
        <f>IF($E44="","",N44*Settings!$B$4)</f>
        <v/>
      </c>
      <c r="Q44" s="9">
        <f>IF(O44="","",MIN(INT(ROUND(P44/O44,6)),INT(ROUND(Settings!$B$5/K44,6))))</f>
        <v/>
      </c>
      <c r="R44" s="8">
        <f>IF(O44="","",Q44*O44)</f>
        <v/>
      </c>
      <c r="S44" s="8">
        <f>IF(O44="","",IF($E44="LONG",K44+Settings!$B$6*O44,K44-Settings!$B$6*O44))</f>
        <v/>
      </c>
      <c r="T44" s="7" t="n"/>
      <c r="V44" s="8">
        <f>IF(OR($E44="",T44=""),"",IF($E44="LONG",(T44-L44)*Q44,(L44-T44)*Q44))</f>
        <v/>
      </c>
      <c r="W44" s="10">
        <f>IF(V44="","",V44/N44)</f>
        <v/>
      </c>
      <c r="X44" s="11">
        <f>IF(V44="","",V44/R44)</f>
        <v/>
      </c>
      <c r="Y44" s="8">
        <f>IF(OR($E44="",L44=""),"",IF($E44="LONG",L44-K44,K44-L44))</f>
        <v/>
      </c>
      <c r="AP44" s="7" t="n"/>
    </row>
    <row r="45">
      <c r="H45" s="7" t="n"/>
      <c r="I45" s="7" t="n"/>
      <c r="J45" s="8">
        <f>IF($E45="","",MAX(Settings!$B$7,ROUND(Settings!$B$8*IF($E45="LONG",H45,I45),2)))</f>
        <v/>
      </c>
      <c r="K45" s="8">
        <f>IF($E45="","",IF($E45="LONG",H45+J45,I45-J45))</f>
        <v/>
      </c>
      <c r="L45" s="7" t="n"/>
      <c r="M45" s="8">
        <f>IF($E45="","",IF($E45="LONG",K45-O45,K45+O45))</f>
        <v/>
      </c>
      <c r="N45" s="7" t="n"/>
      <c r="O45" s="8">
        <f>IF(OR($E45="",AP45=""),"",ROUNDUP(ROUND(MAX(IF($E45="LONG",K45-I45,H45-K45),Settings!$B$9*AP45),6),2))</f>
        <v/>
      </c>
      <c r="P45" s="8">
        <f>IF($E45="","",N45*Settings!$B$4)</f>
        <v/>
      </c>
      <c r="Q45" s="9">
        <f>IF(O45="","",MIN(INT(ROUND(P45/O45,6)),INT(ROUND(Settings!$B$5/K45,6))))</f>
        <v/>
      </c>
      <c r="R45" s="8">
        <f>IF(O45="","",Q45*O45)</f>
        <v/>
      </c>
      <c r="S45" s="8">
        <f>IF(O45="","",IF($E45="LONG",K45+Settings!$B$6*O45,K45-Settings!$B$6*O45))</f>
        <v/>
      </c>
      <c r="T45" s="7" t="n"/>
      <c r="V45" s="8">
        <f>IF(OR($E45="",T45=""),"",IF($E45="LONG",(T45-L45)*Q45,(L45-T45)*Q45))</f>
        <v/>
      </c>
      <c r="W45" s="10">
        <f>IF(V45="","",V45/N45)</f>
        <v/>
      </c>
      <c r="X45" s="11">
        <f>IF(V45="","",V45/R45)</f>
        <v/>
      </c>
      <c r="Y45" s="8">
        <f>IF(OR($E45="",L45=""),"",IF($E45="LONG",L45-K45,K45-L45))</f>
        <v/>
      </c>
      <c r="AP45" s="7" t="n"/>
    </row>
    <row r="46">
      <c r="H46" s="7" t="n"/>
      <c r="I46" s="7" t="n"/>
      <c r="J46" s="8">
        <f>IF($E46="","",MAX(Settings!$B$7,ROUND(Settings!$B$8*IF($E46="LONG",H46,I46),2)))</f>
        <v/>
      </c>
      <c r="K46" s="8">
        <f>IF($E46="","",IF($E46="LONG",H46+J46,I46-J46))</f>
        <v/>
      </c>
      <c r="L46" s="7" t="n"/>
      <c r="M46" s="8">
        <f>IF($E46="","",IF($E46="LONG",K46-O46,K46+O46))</f>
        <v/>
      </c>
      <c r="N46" s="7" t="n"/>
      <c r="O46" s="8">
        <f>IF(OR($E46="",AP46=""),"",ROUNDUP(ROUND(MAX(IF($E46="LONG",K46-I46,H46-K46),Settings!$B$9*AP46),6),2))</f>
        <v/>
      </c>
      <c r="P46" s="8">
        <f>IF($E46="","",N46*Settings!$B$4)</f>
        <v/>
      </c>
      <c r="Q46" s="9">
        <f>IF(O46="","",MIN(INT(ROUND(P46/O46,6)),INT(ROUND(Settings!$B$5/K46,6))))</f>
        <v/>
      </c>
      <c r="R46" s="8">
        <f>IF(O46="","",Q46*O46)</f>
        <v/>
      </c>
      <c r="S46" s="8">
        <f>IF(O46="","",IF($E46="LONG",K46+Settings!$B$6*O46,K46-Settings!$B$6*O46))</f>
        <v/>
      </c>
      <c r="T46" s="7" t="n"/>
      <c r="V46" s="8">
        <f>IF(OR($E46="",T46=""),"",IF($E46="LONG",(T46-L46)*Q46,(L46-T46)*Q46))</f>
        <v/>
      </c>
      <c r="W46" s="10">
        <f>IF(V46="","",V46/N46)</f>
        <v/>
      </c>
      <c r="X46" s="11">
        <f>IF(V46="","",V46/R46)</f>
        <v/>
      </c>
      <c r="Y46" s="8">
        <f>IF(OR($E46="",L46=""),"",IF($E46="LONG",L46-K46,K46-L46))</f>
        <v/>
      </c>
      <c r="AP46" s="7" t="n"/>
    </row>
    <row r="47">
      <c r="H47" s="7" t="n"/>
      <c r="I47" s="7" t="n"/>
      <c r="J47" s="8">
        <f>IF($E47="","",MAX(Settings!$B$7,ROUND(Settings!$B$8*IF($E47="LONG",H47,I47),2)))</f>
        <v/>
      </c>
      <c r="K47" s="8">
        <f>IF($E47="","",IF($E47="LONG",H47+J47,I47-J47))</f>
        <v/>
      </c>
      <c r="L47" s="7" t="n"/>
      <c r="M47" s="8">
        <f>IF($E47="","",IF($E47="LONG",K47-O47,K47+O47))</f>
        <v/>
      </c>
      <c r="N47" s="7" t="n"/>
      <c r="O47" s="8">
        <f>IF(OR($E47="",AP47=""),"",ROUNDUP(ROUND(MAX(IF($E47="LONG",K47-I47,H47-K47),Settings!$B$9*AP47),6),2))</f>
        <v/>
      </c>
      <c r="P47" s="8">
        <f>IF($E47="","",N47*Settings!$B$4)</f>
        <v/>
      </c>
      <c r="Q47" s="9">
        <f>IF(O47="","",MIN(INT(ROUND(P47/O47,6)),INT(ROUND(Settings!$B$5/K47,6))))</f>
        <v/>
      </c>
      <c r="R47" s="8">
        <f>IF(O47="","",Q47*O47)</f>
        <v/>
      </c>
      <c r="S47" s="8">
        <f>IF(O47="","",IF($E47="LONG",K47+Settings!$B$6*O47,K47-Settings!$B$6*O47))</f>
        <v/>
      </c>
      <c r="T47" s="7" t="n"/>
      <c r="V47" s="8">
        <f>IF(OR($E47="",T47=""),"",IF($E47="LONG",(T47-L47)*Q47,(L47-T47)*Q47))</f>
        <v/>
      </c>
      <c r="W47" s="10">
        <f>IF(V47="","",V47/N47)</f>
        <v/>
      </c>
      <c r="X47" s="11">
        <f>IF(V47="","",V47/R47)</f>
        <v/>
      </c>
      <c r="Y47" s="8">
        <f>IF(OR($E47="",L47=""),"",IF($E47="LONG",L47-K47,K47-L47))</f>
        <v/>
      </c>
      <c r="AP47" s="7" t="n"/>
    </row>
    <row r="48">
      <c r="H48" s="7" t="n"/>
      <c r="I48" s="7" t="n"/>
      <c r="J48" s="8">
        <f>IF($E48="","",MAX(Settings!$B$7,ROUND(Settings!$B$8*IF($E48="LONG",H48,I48),2)))</f>
        <v/>
      </c>
      <c r="K48" s="8">
        <f>IF($E48="","",IF($E48="LONG",H48+J48,I48-J48))</f>
        <v/>
      </c>
      <c r="L48" s="7" t="n"/>
      <c r="M48" s="8">
        <f>IF($E48="","",IF($E48="LONG",K48-O48,K48+O48))</f>
        <v/>
      </c>
      <c r="N48" s="7" t="n"/>
      <c r="O48" s="8">
        <f>IF(OR($E48="",AP48=""),"",ROUNDUP(ROUND(MAX(IF($E48="LONG",K48-I48,H48-K48),Settings!$B$9*AP48),6),2))</f>
        <v/>
      </c>
      <c r="P48" s="8">
        <f>IF($E48="","",N48*Settings!$B$4)</f>
        <v/>
      </c>
      <c r="Q48" s="9">
        <f>IF(O48="","",MIN(INT(ROUND(P48/O48,6)),INT(ROUND(Settings!$B$5/K48,6))))</f>
        <v/>
      </c>
      <c r="R48" s="8">
        <f>IF(O48="","",Q48*O48)</f>
        <v/>
      </c>
      <c r="S48" s="8">
        <f>IF(O48="","",IF($E48="LONG",K48+Settings!$B$6*O48,K48-Settings!$B$6*O48))</f>
        <v/>
      </c>
      <c r="T48" s="7" t="n"/>
      <c r="V48" s="8">
        <f>IF(OR($E48="",T48=""),"",IF($E48="LONG",(T48-L48)*Q48,(L48-T48)*Q48))</f>
        <v/>
      </c>
      <c r="W48" s="10">
        <f>IF(V48="","",V48/N48)</f>
        <v/>
      </c>
      <c r="X48" s="11">
        <f>IF(V48="","",V48/R48)</f>
        <v/>
      </c>
      <c r="Y48" s="8">
        <f>IF(OR($E48="",L48=""),"",IF($E48="LONG",L48-K48,K48-L48))</f>
        <v/>
      </c>
      <c r="AP48" s="7" t="n"/>
    </row>
    <row r="49">
      <c r="H49" s="7" t="n"/>
      <c r="I49" s="7" t="n"/>
      <c r="J49" s="8">
        <f>IF($E49="","",MAX(Settings!$B$7,ROUND(Settings!$B$8*IF($E49="LONG",H49,I49),2)))</f>
        <v/>
      </c>
      <c r="K49" s="8">
        <f>IF($E49="","",IF($E49="LONG",H49+J49,I49-J49))</f>
        <v/>
      </c>
      <c r="L49" s="7" t="n"/>
      <c r="M49" s="8">
        <f>IF($E49="","",IF($E49="LONG",K49-O49,K49+O49))</f>
        <v/>
      </c>
      <c r="N49" s="7" t="n"/>
      <c r="O49" s="8">
        <f>IF(OR($E49="",AP49=""),"",ROUNDUP(ROUND(MAX(IF($E49="LONG",K49-I49,H49-K49),Settings!$B$9*AP49),6),2))</f>
        <v/>
      </c>
      <c r="P49" s="8">
        <f>IF($E49="","",N49*Settings!$B$4)</f>
        <v/>
      </c>
      <c r="Q49" s="9">
        <f>IF(O49="","",MIN(INT(ROUND(P49/O49,6)),INT(ROUND(Settings!$B$5/K49,6))))</f>
        <v/>
      </c>
      <c r="R49" s="8">
        <f>IF(O49="","",Q49*O49)</f>
        <v/>
      </c>
      <c r="S49" s="8">
        <f>IF(O49="","",IF($E49="LONG",K49+Settings!$B$6*O49,K49-Settings!$B$6*O49))</f>
        <v/>
      </c>
      <c r="T49" s="7" t="n"/>
      <c r="V49" s="8">
        <f>IF(OR($E49="",T49=""),"",IF($E49="LONG",(T49-L49)*Q49,(L49-T49)*Q49))</f>
        <v/>
      </c>
      <c r="W49" s="10">
        <f>IF(V49="","",V49/N49)</f>
        <v/>
      </c>
      <c r="X49" s="11">
        <f>IF(V49="","",V49/R49)</f>
        <v/>
      </c>
      <c r="Y49" s="8">
        <f>IF(OR($E49="",L49=""),"",IF($E49="LONG",L49-K49,K49-L49))</f>
        <v/>
      </c>
      <c r="AP49" s="7" t="n"/>
    </row>
    <row r="50">
      <c r="H50" s="7" t="n"/>
      <c r="I50" s="7" t="n"/>
      <c r="J50" s="8">
        <f>IF($E50="","",MAX(Settings!$B$7,ROUND(Settings!$B$8*IF($E50="LONG",H50,I50),2)))</f>
        <v/>
      </c>
      <c r="K50" s="8">
        <f>IF($E50="","",IF($E50="LONG",H50+J50,I50-J50))</f>
        <v/>
      </c>
      <c r="L50" s="7" t="n"/>
      <c r="M50" s="8">
        <f>IF($E50="","",IF($E50="LONG",K50-O50,K50+O50))</f>
        <v/>
      </c>
      <c r="N50" s="7" t="n"/>
      <c r="O50" s="8">
        <f>IF(OR($E50="",AP50=""),"",ROUNDUP(ROUND(MAX(IF($E50="LONG",K50-I50,H50-K50),Settings!$B$9*AP50),6),2))</f>
        <v/>
      </c>
      <c r="P50" s="8">
        <f>IF($E50="","",N50*Settings!$B$4)</f>
        <v/>
      </c>
      <c r="Q50" s="9">
        <f>IF(O50="","",MIN(INT(ROUND(P50/O50,6)),INT(ROUND(Settings!$B$5/K50,6))))</f>
        <v/>
      </c>
      <c r="R50" s="8">
        <f>IF(O50="","",Q50*O50)</f>
        <v/>
      </c>
      <c r="S50" s="8">
        <f>IF(O50="","",IF($E50="LONG",K50+Settings!$B$6*O50,K50-Settings!$B$6*O50))</f>
        <v/>
      </c>
      <c r="T50" s="7" t="n"/>
      <c r="V50" s="8">
        <f>IF(OR($E50="",T50=""),"",IF($E50="LONG",(T50-L50)*Q50,(L50-T50)*Q50))</f>
        <v/>
      </c>
      <c r="W50" s="10">
        <f>IF(V50="","",V50/N50)</f>
        <v/>
      </c>
      <c r="X50" s="11">
        <f>IF(V50="","",V50/R50)</f>
        <v/>
      </c>
      <c r="Y50" s="8">
        <f>IF(OR($E50="",L50=""),"",IF($E50="LONG",L50-K50,K50-L50))</f>
        <v/>
      </c>
      <c r="AP50" s="7" t="n"/>
    </row>
    <row r="51">
      <c r="H51" s="7" t="n"/>
      <c r="I51" s="7" t="n"/>
      <c r="J51" s="8">
        <f>IF($E51="","",MAX(Settings!$B$7,ROUND(Settings!$B$8*IF($E51="LONG",H51,I51),2)))</f>
        <v/>
      </c>
      <c r="K51" s="8">
        <f>IF($E51="","",IF($E51="LONG",H51+J51,I51-J51))</f>
        <v/>
      </c>
      <c r="L51" s="7" t="n"/>
      <c r="M51" s="8">
        <f>IF($E51="","",IF($E51="LONG",K51-O51,K51+O51))</f>
        <v/>
      </c>
      <c r="N51" s="7" t="n"/>
      <c r="O51" s="8">
        <f>IF(OR($E51="",AP51=""),"",ROUNDUP(ROUND(MAX(IF($E51="LONG",K51-I51,H51-K51),Settings!$B$9*AP51),6),2))</f>
        <v/>
      </c>
      <c r="P51" s="8">
        <f>IF($E51="","",N51*Settings!$B$4)</f>
        <v/>
      </c>
      <c r="Q51" s="9">
        <f>IF(O51="","",MIN(INT(ROUND(P51/O51,6)),INT(ROUND(Settings!$B$5/K51,6))))</f>
        <v/>
      </c>
      <c r="R51" s="8">
        <f>IF(O51="","",Q51*O51)</f>
        <v/>
      </c>
      <c r="S51" s="8">
        <f>IF(O51="","",IF($E51="LONG",K51+Settings!$B$6*O51,K51-Settings!$B$6*O51))</f>
        <v/>
      </c>
      <c r="T51" s="7" t="n"/>
      <c r="V51" s="8">
        <f>IF(OR($E51="",T51=""),"",IF($E51="LONG",(T51-L51)*Q51,(L51-T51)*Q51))</f>
        <v/>
      </c>
      <c r="W51" s="10">
        <f>IF(V51="","",V51/N51)</f>
        <v/>
      </c>
      <c r="X51" s="11">
        <f>IF(V51="","",V51/R51)</f>
        <v/>
      </c>
      <c r="Y51" s="8">
        <f>IF(OR($E51="",L51=""),"",IF($E51="LONG",L51-K51,K51-L51))</f>
        <v/>
      </c>
      <c r="AP51" s="7" t="n"/>
    </row>
    <row r="52">
      <c r="H52" s="7" t="n"/>
      <c r="I52" s="7" t="n"/>
      <c r="J52" s="8">
        <f>IF($E52="","",MAX(Settings!$B$7,ROUND(Settings!$B$8*IF($E52="LONG",H52,I52),2)))</f>
        <v/>
      </c>
      <c r="K52" s="8">
        <f>IF($E52="","",IF($E52="LONG",H52+J52,I52-J52))</f>
        <v/>
      </c>
      <c r="L52" s="7" t="n"/>
      <c r="M52" s="8">
        <f>IF($E52="","",IF($E52="LONG",K52-O52,K52+O52))</f>
        <v/>
      </c>
      <c r="N52" s="7" t="n"/>
      <c r="O52" s="8">
        <f>IF(OR($E52="",AP52=""),"",ROUNDUP(ROUND(MAX(IF($E52="LONG",K52-I52,H52-K52),Settings!$B$9*AP52),6),2))</f>
        <v/>
      </c>
      <c r="P52" s="8">
        <f>IF($E52="","",N52*Settings!$B$4)</f>
        <v/>
      </c>
      <c r="Q52" s="9">
        <f>IF(O52="","",MIN(INT(ROUND(P52/O52,6)),INT(ROUND(Settings!$B$5/K52,6))))</f>
        <v/>
      </c>
      <c r="R52" s="8">
        <f>IF(O52="","",Q52*O52)</f>
        <v/>
      </c>
      <c r="S52" s="8">
        <f>IF(O52="","",IF($E52="LONG",K52+Settings!$B$6*O52,K52-Settings!$B$6*O52))</f>
        <v/>
      </c>
      <c r="T52" s="7" t="n"/>
      <c r="V52" s="8">
        <f>IF(OR($E52="",T52=""),"",IF($E52="LONG",(T52-L52)*Q52,(L52-T52)*Q52))</f>
        <v/>
      </c>
      <c r="W52" s="10">
        <f>IF(V52="","",V52/N52)</f>
        <v/>
      </c>
      <c r="X52" s="11">
        <f>IF(V52="","",V52/R52)</f>
        <v/>
      </c>
      <c r="Y52" s="8">
        <f>IF(OR($E52="",L52=""),"",IF($E52="LONG",L52-K52,K52-L52))</f>
        <v/>
      </c>
      <c r="AP52" s="7" t="n"/>
    </row>
    <row r="53">
      <c r="H53" s="7" t="n"/>
      <c r="I53" s="7" t="n"/>
      <c r="J53" s="8">
        <f>IF($E53="","",MAX(Settings!$B$7,ROUND(Settings!$B$8*IF($E53="LONG",H53,I53),2)))</f>
        <v/>
      </c>
      <c r="K53" s="8">
        <f>IF($E53="","",IF($E53="LONG",H53+J53,I53-J53))</f>
        <v/>
      </c>
      <c r="L53" s="7" t="n"/>
      <c r="M53" s="8">
        <f>IF($E53="","",IF($E53="LONG",K53-O53,K53+O53))</f>
        <v/>
      </c>
      <c r="N53" s="7" t="n"/>
      <c r="O53" s="8">
        <f>IF(OR($E53="",AP53=""),"",ROUNDUP(ROUND(MAX(IF($E53="LONG",K53-I53,H53-K53),Settings!$B$9*AP53),6),2))</f>
        <v/>
      </c>
      <c r="P53" s="8">
        <f>IF($E53="","",N53*Settings!$B$4)</f>
        <v/>
      </c>
      <c r="Q53" s="9">
        <f>IF(O53="","",MIN(INT(ROUND(P53/O53,6)),INT(ROUND(Settings!$B$5/K53,6))))</f>
        <v/>
      </c>
      <c r="R53" s="8">
        <f>IF(O53="","",Q53*O53)</f>
        <v/>
      </c>
      <c r="S53" s="8">
        <f>IF(O53="","",IF($E53="LONG",K53+Settings!$B$6*O53,K53-Settings!$B$6*O53))</f>
        <v/>
      </c>
      <c r="T53" s="7" t="n"/>
      <c r="V53" s="8">
        <f>IF(OR($E53="",T53=""),"",IF($E53="LONG",(T53-L53)*Q53,(L53-T53)*Q53))</f>
        <v/>
      </c>
      <c r="W53" s="10">
        <f>IF(V53="","",V53/N53)</f>
        <v/>
      </c>
      <c r="X53" s="11">
        <f>IF(V53="","",V53/R53)</f>
        <v/>
      </c>
      <c r="Y53" s="8">
        <f>IF(OR($E53="",L53=""),"",IF($E53="LONG",L53-K53,K53-L53))</f>
        <v/>
      </c>
      <c r="AP53" s="7" t="n"/>
    </row>
    <row r="54">
      <c r="H54" s="7" t="n"/>
      <c r="I54" s="7" t="n"/>
      <c r="J54" s="8">
        <f>IF($E54="","",MAX(Settings!$B$7,ROUND(Settings!$B$8*IF($E54="LONG",H54,I54),2)))</f>
        <v/>
      </c>
      <c r="K54" s="8">
        <f>IF($E54="","",IF($E54="LONG",H54+J54,I54-J54))</f>
        <v/>
      </c>
      <c r="L54" s="7" t="n"/>
      <c r="M54" s="8">
        <f>IF($E54="","",IF($E54="LONG",K54-O54,K54+O54))</f>
        <v/>
      </c>
      <c r="N54" s="7" t="n"/>
      <c r="O54" s="8">
        <f>IF(OR($E54="",AP54=""),"",ROUNDUP(ROUND(MAX(IF($E54="LONG",K54-I54,H54-K54),Settings!$B$9*AP54),6),2))</f>
        <v/>
      </c>
      <c r="P54" s="8">
        <f>IF($E54="","",N54*Settings!$B$4)</f>
        <v/>
      </c>
      <c r="Q54" s="9">
        <f>IF(O54="","",MIN(INT(ROUND(P54/O54,6)),INT(ROUND(Settings!$B$5/K54,6))))</f>
        <v/>
      </c>
      <c r="R54" s="8">
        <f>IF(O54="","",Q54*O54)</f>
        <v/>
      </c>
      <c r="S54" s="8">
        <f>IF(O54="","",IF($E54="LONG",K54+Settings!$B$6*O54,K54-Settings!$B$6*O54))</f>
        <v/>
      </c>
      <c r="T54" s="7" t="n"/>
      <c r="V54" s="8">
        <f>IF(OR($E54="",T54=""),"",IF($E54="LONG",(T54-L54)*Q54,(L54-T54)*Q54))</f>
        <v/>
      </c>
      <c r="W54" s="10">
        <f>IF(V54="","",V54/N54)</f>
        <v/>
      </c>
      <c r="X54" s="11">
        <f>IF(V54="","",V54/R54)</f>
        <v/>
      </c>
      <c r="Y54" s="8">
        <f>IF(OR($E54="",L54=""),"",IF($E54="LONG",L54-K54,K54-L54))</f>
        <v/>
      </c>
      <c r="AP54" s="7" t="n"/>
    </row>
    <row r="55">
      <c r="H55" s="7" t="n"/>
      <c r="I55" s="7" t="n"/>
      <c r="J55" s="8">
        <f>IF($E55="","",MAX(Settings!$B$7,ROUND(Settings!$B$8*IF($E55="LONG",H55,I55),2)))</f>
        <v/>
      </c>
      <c r="K55" s="8">
        <f>IF($E55="","",IF($E55="LONG",H55+J55,I55-J55))</f>
        <v/>
      </c>
      <c r="L55" s="7" t="n"/>
      <c r="M55" s="8">
        <f>IF($E55="","",IF($E55="LONG",K55-O55,K55+O55))</f>
        <v/>
      </c>
      <c r="N55" s="7" t="n"/>
      <c r="O55" s="8">
        <f>IF(OR($E55="",AP55=""),"",ROUNDUP(ROUND(MAX(IF($E55="LONG",K55-I55,H55-K55),Settings!$B$9*AP55),6),2))</f>
        <v/>
      </c>
      <c r="P55" s="8">
        <f>IF($E55="","",N55*Settings!$B$4)</f>
        <v/>
      </c>
      <c r="Q55" s="9">
        <f>IF(O55="","",MIN(INT(ROUND(P55/O55,6)),INT(ROUND(Settings!$B$5/K55,6))))</f>
        <v/>
      </c>
      <c r="R55" s="8">
        <f>IF(O55="","",Q55*O55)</f>
        <v/>
      </c>
      <c r="S55" s="8">
        <f>IF(O55="","",IF($E55="LONG",K55+Settings!$B$6*O55,K55-Settings!$B$6*O55))</f>
        <v/>
      </c>
      <c r="T55" s="7" t="n"/>
      <c r="V55" s="8">
        <f>IF(OR($E55="",T55=""),"",IF($E55="LONG",(T55-L55)*Q55,(L55-T55)*Q55))</f>
        <v/>
      </c>
      <c r="W55" s="10">
        <f>IF(V55="","",V55/N55)</f>
        <v/>
      </c>
      <c r="X55" s="11">
        <f>IF(V55="","",V55/R55)</f>
        <v/>
      </c>
      <c r="Y55" s="8">
        <f>IF(OR($E55="",L55=""),"",IF($E55="LONG",L55-K55,K55-L55))</f>
        <v/>
      </c>
      <c r="AP55" s="7" t="n"/>
    </row>
    <row r="56">
      <c r="H56" s="7" t="n"/>
      <c r="I56" s="7" t="n"/>
      <c r="J56" s="8">
        <f>IF($E56="","",MAX(Settings!$B$7,ROUND(Settings!$B$8*IF($E56="LONG",H56,I56),2)))</f>
        <v/>
      </c>
      <c r="K56" s="8">
        <f>IF($E56="","",IF($E56="LONG",H56+J56,I56-J56))</f>
        <v/>
      </c>
      <c r="L56" s="7" t="n"/>
      <c r="M56" s="8">
        <f>IF($E56="","",IF($E56="LONG",K56-O56,K56+O56))</f>
        <v/>
      </c>
      <c r="N56" s="7" t="n"/>
      <c r="O56" s="8">
        <f>IF(OR($E56="",AP56=""),"",ROUNDUP(ROUND(MAX(IF($E56="LONG",K56-I56,H56-K56),Settings!$B$9*AP56),6),2))</f>
        <v/>
      </c>
      <c r="P56" s="8">
        <f>IF($E56="","",N56*Settings!$B$4)</f>
        <v/>
      </c>
      <c r="Q56" s="9">
        <f>IF(O56="","",MIN(INT(ROUND(P56/O56,6)),INT(ROUND(Settings!$B$5/K56,6))))</f>
        <v/>
      </c>
      <c r="R56" s="8">
        <f>IF(O56="","",Q56*O56)</f>
        <v/>
      </c>
      <c r="S56" s="8">
        <f>IF(O56="","",IF($E56="LONG",K56+Settings!$B$6*O56,K56-Settings!$B$6*O56))</f>
        <v/>
      </c>
      <c r="T56" s="7" t="n"/>
      <c r="V56" s="8">
        <f>IF(OR($E56="",T56=""),"",IF($E56="LONG",(T56-L56)*Q56,(L56-T56)*Q56))</f>
        <v/>
      </c>
      <c r="W56" s="10">
        <f>IF(V56="","",V56/N56)</f>
        <v/>
      </c>
      <c r="X56" s="11">
        <f>IF(V56="","",V56/R56)</f>
        <v/>
      </c>
      <c r="Y56" s="8">
        <f>IF(OR($E56="",L56=""),"",IF($E56="LONG",L56-K56,K56-L56))</f>
        <v/>
      </c>
      <c r="AP56" s="7" t="n"/>
    </row>
    <row r="57">
      <c r="H57" s="7" t="n"/>
      <c r="I57" s="7" t="n"/>
      <c r="J57" s="8">
        <f>IF($E57="","",MAX(Settings!$B$7,ROUND(Settings!$B$8*IF($E57="LONG",H57,I57),2)))</f>
        <v/>
      </c>
      <c r="K57" s="8">
        <f>IF($E57="","",IF($E57="LONG",H57+J57,I57-J57))</f>
        <v/>
      </c>
      <c r="L57" s="7" t="n"/>
      <c r="M57" s="8">
        <f>IF($E57="","",IF($E57="LONG",K57-O57,K57+O57))</f>
        <v/>
      </c>
      <c r="N57" s="7" t="n"/>
      <c r="O57" s="8">
        <f>IF(OR($E57="",AP57=""),"",ROUNDUP(ROUND(MAX(IF($E57="LONG",K57-I57,H57-K57),Settings!$B$9*AP57),6),2))</f>
        <v/>
      </c>
      <c r="P57" s="8">
        <f>IF($E57="","",N57*Settings!$B$4)</f>
        <v/>
      </c>
      <c r="Q57" s="9">
        <f>IF(O57="","",MIN(INT(ROUND(P57/O57,6)),INT(ROUND(Settings!$B$5/K57,6))))</f>
        <v/>
      </c>
      <c r="R57" s="8">
        <f>IF(O57="","",Q57*O57)</f>
        <v/>
      </c>
      <c r="S57" s="8">
        <f>IF(O57="","",IF($E57="LONG",K57+Settings!$B$6*O57,K57-Settings!$B$6*O57))</f>
        <v/>
      </c>
      <c r="T57" s="7" t="n"/>
      <c r="V57" s="8">
        <f>IF(OR($E57="",T57=""),"",IF($E57="LONG",(T57-L57)*Q57,(L57-T57)*Q57))</f>
        <v/>
      </c>
      <c r="W57" s="10">
        <f>IF(V57="","",V57/N57)</f>
        <v/>
      </c>
      <c r="X57" s="11">
        <f>IF(V57="","",V57/R57)</f>
        <v/>
      </c>
      <c r="Y57" s="8">
        <f>IF(OR($E57="",L57=""),"",IF($E57="LONG",L57-K57,K57-L57))</f>
        <v/>
      </c>
      <c r="AP57" s="7" t="n"/>
    </row>
    <row r="58">
      <c r="H58" s="7" t="n"/>
      <c r="I58" s="7" t="n"/>
      <c r="J58" s="8">
        <f>IF($E58="","",MAX(Settings!$B$7,ROUND(Settings!$B$8*IF($E58="LONG",H58,I58),2)))</f>
        <v/>
      </c>
      <c r="K58" s="8">
        <f>IF($E58="","",IF($E58="LONG",H58+J58,I58-J58))</f>
        <v/>
      </c>
      <c r="L58" s="7" t="n"/>
      <c r="M58" s="8">
        <f>IF($E58="","",IF($E58="LONG",K58-O58,K58+O58))</f>
        <v/>
      </c>
      <c r="N58" s="7" t="n"/>
      <c r="O58" s="8">
        <f>IF(OR($E58="",AP58=""),"",ROUNDUP(ROUND(MAX(IF($E58="LONG",K58-I58,H58-K58),Settings!$B$9*AP58),6),2))</f>
        <v/>
      </c>
      <c r="P58" s="8">
        <f>IF($E58="","",N58*Settings!$B$4)</f>
        <v/>
      </c>
      <c r="Q58" s="9">
        <f>IF(O58="","",MIN(INT(ROUND(P58/O58,6)),INT(ROUND(Settings!$B$5/K58,6))))</f>
        <v/>
      </c>
      <c r="R58" s="8">
        <f>IF(O58="","",Q58*O58)</f>
        <v/>
      </c>
      <c r="S58" s="8">
        <f>IF(O58="","",IF($E58="LONG",K58+Settings!$B$6*O58,K58-Settings!$B$6*O58))</f>
        <v/>
      </c>
      <c r="T58" s="7" t="n"/>
      <c r="V58" s="8">
        <f>IF(OR($E58="",T58=""),"",IF($E58="LONG",(T58-L58)*Q58,(L58-T58)*Q58))</f>
        <v/>
      </c>
      <c r="W58" s="10">
        <f>IF(V58="","",V58/N58)</f>
        <v/>
      </c>
      <c r="X58" s="11">
        <f>IF(V58="","",V58/R58)</f>
        <v/>
      </c>
      <c r="Y58" s="8">
        <f>IF(OR($E58="",L58=""),"",IF($E58="LONG",L58-K58,K58-L58))</f>
        <v/>
      </c>
      <c r="AP58" s="7" t="n"/>
    </row>
    <row r="59">
      <c r="H59" s="7" t="n"/>
      <c r="I59" s="7" t="n"/>
      <c r="J59" s="8">
        <f>IF($E59="","",MAX(Settings!$B$7,ROUND(Settings!$B$8*IF($E59="LONG",H59,I59),2)))</f>
        <v/>
      </c>
      <c r="K59" s="8">
        <f>IF($E59="","",IF($E59="LONG",H59+J59,I59-J59))</f>
        <v/>
      </c>
      <c r="L59" s="7" t="n"/>
      <c r="M59" s="8">
        <f>IF($E59="","",IF($E59="LONG",K59-O59,K59+O59))</f>
        <v/>
      </c>
      <c r="N59" s="7" t="n"/>
      <c r="O59" s="8">
        <f>IF(OR($E59="",AP59=""),"",ROUNDUP(ROUND(MAX(IF($E59="LONG",K59-I59,H59-K59),Settings!$B$9*AP59),6),2))</f>
        <v/>
      </c>
      <c r="P59" s="8">
        <f>IF($E59="","",N59*Settings!$B$4)</f>
        <v/>
      </c>
      <c r="Q59" s="9">
        <f>IF(O59="","",MIN(INT(ROUND(P59/O59,6)),INT(ROUND(Settings!$B$5/K59,6))))</f>
        <v/>
      </c>
      <c r="R59" s="8">
        <f>IF(O59="","",Q59*O59)</f>
        <v/>
      </c>
      <c r="S59" s="8">
        <f>IF(O59="","",IF($E59="LONG",K59+Settings!$B$6*O59,K59-Settings!$B$6*O59))</f>
        <v/>
      </c>
      <c r="T59" s="7" t="n"/>
      <c r="V59" s="8">
        <f>IF(OR($E59="",T59=""),"",IF($E59="LONG",(T59-L59)*Q59,(L59-T59)*Q59))</f>
        <v/>
      </c>
      <c r="W59" s="10">
        <f>IF(V59="","",V59/N59)</f>
        <v/>
      </c>
      <c r="X59" s="11">
        <f>IF(V59="","",V59/R59)</f>
        <v/>
      </c>
      <c r="Y59" s="8">
        <f>IF(OR($E59="",L59=""),"",IF($E59="LONG",L59-K59,K59-L59))</f>
        <v/>
      </c>
      <c r="AP59" s="7" t="n"/>
    </row>
    <row r="60">
      <c r="H60" s="7" t="n"/>
      <c r="I60" s="7" t="n"/>
      <c r="J60" s="8">
        <f>IF($E60="","",MAX(Settings!$B$7,ROUND(Settings!$B$8*IF($E60="LONG",H60,I60),2)))</f>
        <v/>
      </c>
      <c r="K60" s="8">
        <f>IF($E60="","",IF($E60="LONG",H60+J60,I60-J60))</f>
        <v/>
      </c>
      <c r="L60" s="7" t="n"/>
      <c r="M60" s="8">
        <f>IF($E60="","",IF($E60="LONG",K60-O60,K60+O60))</f>
        <v/>
      </c>
      <c r="N60" s="7" t="n"/>
      <c r="O60" s="8">
        <f>IF(OR($E60="",AP60=""),"",ROUNDUP(ROUND(MAX(IF($E60="LONG",K60-I60,H60-K60),Settings!$B$9*AP60),6),2))</f>
        <v/>
      </c>
      <c r="P60" s="8">
        <f>IF($E60="","",N60*Settings!$B$4)</f>
        <v/>
      </c>
      <c r="Q60" s="9">
        <f>IF(O60="","",MIN(INT(ROUND(P60/O60,6)),INT(ROUND(Settings!$B$5/K60,6))))</f>
        <v/>
      </c>
      <c r="R60" s="8">
        <f>IF(O60="","",Q60*O60)</f>
        <v/>
      </c>
      <c r="S60" s="8">
        <f>IF(O60="","",IF($E60="LONG",K60+Settings!$B$6*O60,K60-Settings!$B$6*O60))</f>
        <v/>
      </c>
      <c r="T60" s="7" t="n"/>
      <c r="V60" s="8">
        <f>IF(OR($E60="",T60=""),"",IF($E60="LONG",(T60-L60)*Q60,(L60-T60)*Q60))</f>
        <v/>
      </c>
      <c r="W60" s="10">
        <f>IF(V60="","",V60/N60)</f>
        <v/>
      </c>
      <c r="X60" s="11">
        <f>IF(V60="","",V60/R60)</f>
        <v/>
      </c>
      <c r="Y60" s="8">
        <f>IF(OR($E60="",L60=""),"",IF($E60="LONG",L60-K60,K60-L60))</f>
        <v/>
      </c>
      <c r="AP60" s="7" t="n"/>
    </row>
    <row r="61">
      <c r="H61" s="7" t="n"/>
      <c r="I61" s="7" t="n"/>
      <c r="J61" s="8">
        <f>IF($E61="","",MAX(Settings!$B$7,ROUND(Settings!$B$8*IF($E61="LONG",H61,I61),2)))</f>
        <v/>
      </c>
      <c r="K61" s="8">
        <f>IF($E61="","",IF($E61="LONG",H61+J61,I61-J61))</f>
        <v/>
      </c>
      <c r="L61" s="7" t="n"/>
      <c r="M61" s="8">
        <f>IF($E61="","",IF($E61="LONG",K61-O61,K61+O61))</f>
        <v/>
      </c>
      <c r="N61" s="7" t="n"/>
      <c r="O61" s="8">
        <f>IF(OR($E61="",AP61=""),"",ROUNDUP(ROUND(MAX(IF($E61="LONG",K61-I61,H61-K61),Settings!$B$9*AP61),6),2))</f>
        <v/>
      </c>
      <c r="P61" s="8">
        <f>IF($E61="","",N61*Settings!$B$4)</f>
        <v/>
      </c>
      <c r="Q61" s="9">
        <f>IF(O61="","",MIN(INT(ROUND(P61/O61,6)),INT(ROUND(Settings!$B$5/K61,6))))</f>
        <v/>
      </c>
      <c r="R61" s="8">
        <f>IF(O61="","",Q61*O61)</f>
        <v/>
      </c>
      <c r="S61" s="8">
        <f>IF(O61="","",IF($E61="LONG",K61+Settings!$B$6*O61,K61-Settings!$B$6*O61))</f>
        <v/>
      </c>
      <c r="T61" s="7" t="n"/>
      <c r="V61" s="8">
        <f>IF(OR($E61="",T61=""),"",IF($E61="LONG",(T61-L61)*Q61,(L61-T61)*Q61))</f>
        <v/>
      </c>
      <c r="W61" s="10">
        <f>IF(V61="","",V61/N61)</f>
        <v/>
      </c>
      <c r="X61" s="11">
        <f>IF(V61="","",V61/R61)</f>
        <v/>
      </c>
      <c r="Y61" s="8">
        <f>IF(OR($E61="",L61=""),"",IF($E61="LONG",L61-K61,K61-L61))</f>
        <v/>
      </c>
      <c r="AP61" s="7" t="n"/>
    </row>
    <row r="62">
      <c r="H62" s="7" t="n"/>
      <c r="I62" s="7" t="n"/>
      <c r="J62" s="8">
        <f>IF($E62="","",MAX(Settings!$B$7,ROUND(Settings!$B$8*IF($E62="LONG",H62,I62),2)))</f>
        <v/>
      </c>
      <c r="K62" s="8">
        <f>IF($E62="","",IF($E62="LONG",H62+J62,I62-J62))</f>
        <v/>
      </c>
      <c r="L62" s="7" t="n"/>
      <c r="M62" s="8">
        <f>IF($E62="","",IF($E62="LONG",K62-O62,K62+O62))</f>
        <v/>
      </c>
      <c r="N62" s="7" t="n"/>
      <c r="O62" s="8">
        <f>IF(OR($E62="",AP62=""),"",ROUNDUP(ROUND(MAX(IF($E62="LONG",K62-I62,H62-K62),Settings!$B$9*AP62),6),2))</f>
        <v/>
      </c>
      <c r="P62" s="8">
        <f>IF($E62="","",N62*Settings!$B$4)</f>
        <v/>
      </c>
      <c r="Q62" s="9">
        <f>IF(O62="","",MIN(INT(ROUND(P62/O62,6)),INT(ROUND(Settings!$B$5/K62,6))))</f>
        <v/>
      </c>
      <c r="R62" s="8">
        <f>IF(O62="","",Q62*O62)</f>
        <v/>
      </c>
      <c r="S62" s="8">
        <f>IF(O62="","",IF($E62="LONG",K62+Settings!$B$6*O62,K62-Settings!$B$6*O62))</f>
        <v/>
      </c>
      <c r="T62" s="7" t="n"/>
      <c r="V62" s="8">
        <f>IF(OR($E62="",T62=""),"",IF($E62="LONG",(T62-L62)*Q62,(L62-T62)*Q62))</f>
        <v/>
      </c>
      <c r="W62" s="10">
        <f>IF(V62="","",V62/N62)</f>
        <v/>
      </c>
      <c r="X62" s="11">
        <f>IF(V62="","",V62/R62)</f>
        <v/>
      </c>
      <c r="Y62" s="8">
        <f>IF(OR($E62="",L62=""),"",IF($E62="LONG",L62-K62,K62-L62))</f>
        <v/>
      </c>
      <c r="AP62" s="7" t="n"/>
    </row>
    <row r="63">
      <c r="H63" s="7" t="n"/>
      <c r="I63" s="7" t="n"/>
      <c r="J63" s="8">
        <f>IF($E63="","",MAX(Settings!$B$7,ROUND(Settings!$B$8*IF($E63="LONG",H63,I63),2)))</f>
        <v/>
      </c>
      <c r="K63" s="8">
        <f>IF($E63="","",IF($E63="LONG",H63+J63,I63-J63))</f>
        <v/>
      </c>
      <c r="L63" s="7" t="n"/>
      <c r="M63" s="8">
        <f>IF($E63="","",IF($E63="LONG",K63-O63,K63+O63))</f>
        <v/>
      </c>
      <c r="N63" s="7" t="n"/>
      <c r="O63" s="8">
        <f>IF(OR($E63="",AP63=""),"",ROUNDUP(ROUND(MAX(IF($E63="LONG",K63-I63,H63-K63),Settings!$B$9*AP63),6),2))</f>
        <v/>
      </c>
      <c r="P63" s="8">
        <f>IF($E63="","",N63*Settings!$B$4)</f>
        <v/>
      </c>
      <c r="Q63" s="9">
        <f>IF(O63="","",MIN(INT(ROUND(P63/O63,6)),INT(ROUND(Settings!$B$5/K63,6))))</f>
        <v/>
      </c>
      <c r="R63" s="8">
        <f>IF(O63="","",Q63*O63)</f>
        <v/>
      </c>
      <c r="S63" s="8">
        <f>IF(O63="","",IF($E63="LONG",K63+Settings!$B$6*O63,K63-Settings!$B$6*O63))</f>
        <v/>
      </c>
      <c r="T63" s="7" t="n"/>
      <c r="V63" s="8">
        <f>IF(OR($E63="",T63=""),"",IF($E63="LONG",(T63-L63)*Q63,(L63-T63)*Q63))</f>
        <v/>
      </c>
      <c r="W63" s="10">
        <f>IF(V63="","",V63/N63)</f>
        <v/>
      </c>
      <c r="X63" s="11">
        <f>IF(V63="","",V63/R63)</f>
        <v/>
      </c>
      <c r="Y63" s="8">
        <f>IF(OR($E63="",L63=""),"",IF($E63="LONG",L63-K63,K63-L63))</f>
        <v/>
      </c>
      <c r="AP63" s="7" t="n"/>
    </row>
    <row r="64">
      <c r="H64" s="7" t="n"/>
      <c r="I64" s="7" t="n"/>
      <c r="J64" s="8">
        <f>IF($E64="","",MAX(Settings!$B$7,ROUND(Settings!$B$8*IF($E64="LONG",H64,I64),2)))</f>
        <v/>
      </c>
      <c r="K64" s="8">
        <f>IF($E64="","",IF($E64="LONG",H64+J64,I64-J64))</f>
        <v/>
      </c>
      <c r="L64" s="7" t="n"/>
      <c r="M64" s="8">
        <f>IF($E64="","",IF($E64="LONG",K64-O64,K64+O64))</f>
        <v/>
      </c>
      <c r="N64" s="7" t="n"/>
      <c r="O64" s="8">
        <f>IF(OR($E64="",AP64=""),"",ROUNDUP(ROUND(MAX(IF($E64="LONG",K64-I64,H64-K64),Settings!$B$9*AP64),6),2))</f>
        <v/>
      </c>
      <c r="P64" s="8">
        <f>IF($E64="","",N64*Settings!$B$4)</f>
        <v/>
      </c>
      <c r="Q64" s="9">
        <f>IF(O64="","",MIN(INT(ROUND(P64/O64,6)),INT(ROUND(Settings!$B$5/K64,6))))</f>
        <v/>
      </c>
      <c r="R64" s="8">
        <f>IF(O64="","",Q64*O64)</f>
        <v/>
      </c>
      <c r="S64" s="8">
        <f>IF(O64="","",IF($E64="LONG",K64+Settings!$B$6*O64,K64-Settings!$B$6*O64))</f>
        <v/>
      </c>
      <c r="T64" s="7" t="n"/>
      <c r="V64" s="8">
        <f>IF(OR($E64="",T64=""),"",IF($E64="LONG",(T64-L64)*Q64,(L64-T64)*Q64))</f>
        <v/>
      </c>
      <c r="W64" s="10">
        <f>IF(V64="","",V64/N64)</f>
        <v/>
      </c>
      <c r="X64" s="11">
        <f>IF(V64="","",V64/R64)</f>
        <v/>
      </c>
      <c r="Y64" s="8">
        <f>IF(OR($E64="",L64=""),"",IF($E64="LONG",L64-K64,K64-L64))</f>
        <v/>
      </c>
      <c r="AP64" s="7" t="n"/>
    </row>
    <row r="65">
      <c r="H65" s="7" t="n"/>
      <c r="I65" s="7" t="n"/>
      <c r="J65" s="8">
        <f>IF($E65="","",MAX(Settings!$B$7,ROUND(Settings!$B$8*IF($E65="LONG",H65,I65),2)))</f>
        <v/>
      </c>
      <c r="K65" s="8">
        <f>IF($E65="","",IF($E65="LONG",H65+J65,I65-J65))</f>
        <v/>
      </c>
      <c r="L65" s="7" t="n"/>
      <c r="M65" s="8">
        <f>IF($E65="","",IF($E65="LONG",K65-O65,K65+O65))</f>
        <v/>
      </c>
      <c r="N65" s="7" t="n"/>
      <c r="O65" s="8">
        <f>IF(OR($E65="",AP65=""),"",ROUNDUP(ROUND(MAX(IF($E65="LONG",K65-I65,H65-K65),Settings!$B$9*AP65),6),2))</f>
        <v/>
      </c>
      <c r="P65" s="8">
        <f>IF($E65="","",N65*Settings!$B$4)</f>
        <v/>
      </c>
      <c r="Q65" s="9">
        <f>IF(O65="","",MIN(INT(ROUND(P65/O65,6)),INT(ROUND(Settings!$B$5/K65,6))))</f>
        <v/>
      </c>
      <c r="R65" s="8">
        <f>IF(O65="","",Q65*O65)</f>
        <v/>
      </c>
      <c r="S65" s="8">
        <f>IF(O65="","",IF($E65="LONG",K65+Settings!$B$6*O65,K65-Settings!$B$6*O65))</f>
        <v/>
      </c>
      <c r="T65" s="7" t="n"/>
      <c r="V65" s="8">
        <f>IF(OR($E65="",T65=""),"",IF($E65="LONG",(T65-L65)*Q65,(L65-T65)*Q65))</f>
        <v/>
      </c>
      <c r="W65" s="10">
        <f>IF(V65="","",V65/N65)</f>
        <v/>
      </c>
      <c r="X65" s="11">
        <f>IF(V65="","",V65/R65)</f>
        <v/>
      </c>
      <c r="Y65" s="8">
        <f>IF(OR($E65="",L65=""),"",IF($E65="LONG",L65-K65,K65-L65))</f>
        <v/>
      </c>
      <c r="AP65" s="7" t="n"/>
    </row>
    <row r="66">
      <c r="H66" s="7" t="n"/>
      <c r="I66" s="7" t="n"/>
      <c r="J66" s="8">
        <f>IF($E66="","",MAX(Settings!$B$7,ROUND(Settings!$B$8*IF($E66="LONG",H66,I66),2)))</f>
        <v/>
      </c>
      <c r="K66" s="8">
        <f>IF($E66="","",IF($E66="LONG",H66+J66,I66-J66))</f>
        <v/>
      </c>
      <c r="L66" s="7" t="n"/>
      <c r="M66" s="8">
        <f>IF($E66="","",IF($E66="LONG",K66-O66,K66+O66))</f>
        <v/>
      </c>
      <c r="N66" s="7" t="n"/>
      <c r="O66" s="8">
        <f>IF(OR($E66="",AP66=""),"",ROUNDUP(ROUND(MAX(IF($E66="LONG",K66-I66,H66-K66),Settings!$B$9*AP66),6),2))</f>
        <v/>
      </c>
      <c r="P66" s="8">
        <f>IF($E66="","",N66*Settings!$B$4)</f>
        <v/>
      </c>
      <c r="Q66" s="9">
        <f>IF(O66="","",MIN(INT(ROUND(P66/O66,6)),INT(ROUND(Settings!$B$5/K66,6))))</f>
        <v/>
      </c>
      <c r="R66" s="8">
        <f>IF(O66="","",Q66*O66)</f>
        <v/>
      </c>
      <c r="S66" s="8">
        <f>IF(O66="","",IF($E66="LONG",K66+Settings!$B$6*O66,K66-Settings!$B$6*O66))</f>
        <v/>
      </c>
      <c r="T66" s="7" t="n"/>
      <c r="V66" s="8">
        <f>IF(OR($E66="",T66=""),"",IF($E66="LONG",(T66-L66)*Q66,(L66-T66)*Q66))</f>
        <v/>
      </c>
      <c r="W66" s="10">
        <f>IF(V66="","",V66/N66)</f>
        <v/>
      </c>
      <c r="X66" s="11">
        <f>IF(V66="","",V66/R66)</f>
        <v/>
      </c>
      <c r="Y66" s="8">
        <f>IF(OR($E66="",L66=""),"",IF($E66="LONG",L66-K66,K66-L66))</f>
        <v/>
      </c>
      <c r="AP66" s="7" t="n"/>
    </row>
    <row r="67">
      <c r="H67" s="7" t="n"/>
      <c r="I67" s="7" t="n"/>
      <c r="J67" s="8">
        <f>IF($E67="","",MAX(Settings!$B$7,ROUND(Settings!$B$8*IF($E67="LONG",H67,I67),2)))</f>
        <v/>
      </c>
      <c r="K67" s="8">
        <f>IF($E67="","",IF($E67="LONG",H67+J67,I67-J67))</f>
        <v/>
      </c>
      <c r="L67" s="7" t="n"/>
      <c r="M67" s="8">
        <f>IF($E67="","",IF($E67="LONG",K67-O67,K67+O67))</f>
        <v/>
      </c>
      <c r="N67" s="7" t="n"/>
      <c r="O67" s="8">
        <f>IF(OR($E67="",AP67=""),"",ROUNDUP(ROUND(MAX(IF($E67="LONG",K67-I67,H67-K67),Settings!$B$9*AP67),6),2))</f>
        <v/>
      </c>
      <c r="P67" s="8">
        <f>IF($E67="","",N67*Settings!$B$4)</f>
        <v/>
      </c>
      <c r="Q67" s="9">
        <f>IF(O67="","",MIN(INT(ROUND(P67/O67,6)),INT(ROUND(Settings!$B$5/K67,6))))</f>
        <v/>
      </c>
      <c r="R67" s="8">
        <f>IF(O67="","",Q67*O67)</f>
        <v/>
      </c>
      <c r="S67" s="8">
        <f>IF(O67="","",IF($E67="LONG",K67+Settings!$B$6*O67,K67-Settings!$B$6*O67))</f>
        <v/>
      </c>
      <c r="T67" s="7" t="n"/>
      <c r="V67" s="8">
        <f>IF(OR($E67="",T67=""),"",IF($E67="LONG",(T67-L67)*Q67,(L67-T67)*Q67))</f>
        <v/>
      </c>
      <c r="W67" s="10">
        <f>IF(V67="","",V67/N67)</f>
        <v/>
      </c>
      <c r="X67" s="11">
        <f>IF(V67="","",V67/R67)</f>
        <v/>
      </c>
      <c r="Y67" s="8">
        <f>IF(OR($E67="",L67=""),"",IF($E67="LONG",L67-K67,K67-L67))</f>
        <v/>
      </c>
      <c r="AP67" s="7" t="n"/>
    </row>
    <row r="68">
      <c r="H68" s="7" t="n"/>
      <c r="I68" s="7" t="n"/>
      <c r="J68" s="8">
        <f>IF($E68="","",MAX(Settings!$B$7,ROUND(Settings!$B$8*IF($E68="LONG",H68,I68),2)))</f>
        <v/>
      </c>
      <c r="K68" s="8">
        <f>IF($E68="","",IF($E68="LONG",H68+J68,I68-J68))</f>
        <v/>
      </c>
      <c r="L68" s="7" t="n"/>
      <c r="M68" s="8">
        <f>IF($E68="","",IF($E68="LONG",K68-O68,K68+O68))</f>
        <v/>
      </c>
      <c r="N68" s="7" t="n"/>
      <c r="O68" s="8">
        <f>IF(OR($E68="",AP68=""),"",ROUNDUP(ROUND(MAX(IF($E68="LONG",K68-I68,H68-K68),Settings!$B$9*AP68),6),2))</f>
        <v/>
      </c>
      <c r="P68" s="8">
        <f>IF($E68="","",N68*Settings!$B$4)</f>
        <v/>
      </c>
      <c r="Q68" s="9">
        <f>IF(O68="","",MIN(INT(ROUND(P68/O68,6)),INT(ROUND(Settings!$B$5/K68,6))))</f>
        <v/>
      </c>
      <c r="R68" s="8">
        <f>IF(O68="","",Q68*O68)</f>
        <v/>
      </c>
      <c r="S68" s="8">
        <f>IF(O68="","",IF($E68="LONG",K68+Settings!$B$6*O68,K68-Settings!$B$6*O68))</f>
        <v/>
      </c>
      <c r="T68" s="7" t="n"/>
      <c r="V68" s="8">
        <f>IF(OR($E68="",T68=""),"",IF($E68="LONG",(T68-L68)*Q68,(L68-T68)*Q68))</f>
        <v/>
      </c>
      <c r="W68" s="10">
        <f>IF(V68="","",V68/N68)</f>
        <v/>
      </c>
      <c r="X68" s="11">
        <f>IF(V68="","",V68/R68)</f>
        <v/>
      </c>
      <c r="Y68" s="8">
        <f>IF(OR($E68="",L68=""),"",IF($E68="LONG",L68-K68,K68-L68))</f>
        <v/>
      </c>
      <c r="AP68" s="7" t="n"/>
    </row>
    <row r="69">
      <c r="H69" s="7" t="n"/>
      <c r="I69" s="7" t="n"/>
      <c r="J69" s="8">
        <f>IF($E69="","",MAX(Settings!$B$7,ROUND(Settings!$B$8*IF($E69="LONG",H69,I69),2)))</f>
        <v/>
      </c>
      <c r="K69" s="8">
        <f>IF($E69="","",IF($E69="LONG",H69+J69,I69-J69))</f>
        <v/>
      </c>
      <c r="L69" s="7" t="n"/>
      <c r="M69" s="8">
        <f>IF($E69="","",IF($E69="LONG",K69-O69,K69+O69))</f>
        <v/>
      </c>
      <c r="N69" s="7" t="n"/>
      <c r="O69" s="8">
        <f>IF(OR($E69="",AP69=""),"",ROUNDUP(ROUND(MAX(IF($E69="LONG",K69-I69,H69-K69),Settings!$B$9*AP69),6),2))</f>
        <v/>
      </c>
      <c r="P69" s="8">
        <f>IF($E69="","",N69*Settings!$B$4)</f>
        <v/>
      </c>
      <c r="Q69" s="9">
        <f>IF(O69="","",MIN(INT(ROUND(P69/O69,6)),INT(ROUND(Settings!$B$5/K69,6))))</f>
        <v/>
      </c>
      <c r="R69" s="8">
        <f>IF(O69="","",Q69*O69)</f>
        <v/>
      </c>
      <c r="S69" s="8">
        <f>IF(O69="","",IF($E69="LONG",K69+Settings!$B$6*O69,K69-Settings!$B$6*O69))</f>
        <v/>
      </c>
      <c r="T69" s="7" t="n"/>
      <c r="V69" s="8">
        <f>IF(OR($E69="",T69=""),"",IF($E69="LONG",(T69-L69)*Q69,(L69-T69)*Q69))</f>
        <v/>
      </c>
      <c r="W69" s="10">
        <f>IF(V69="","",V69/N69)</f>
        <v/>
      </c>
      <c r="X69" s="11">
        <f>IF(V69="","",V69/R69)</f>
        <v/>
      </c>
      <c r="Y69" s="8">
        <f>IF(OR($E69="",L69=""),"",IF($E69="LONG",L69-K69,K69-L69))</f>
        <v/>
      </c>
      <c r="AP69" s="7" t="n"/>
    </row>
    <row r="70">
      <c r="H70" s="7" t="n"/>
      <c r="I70" s="7" t="n"/>
      <c r="J70" s="8">
        <f>IF($E70="","",MAX(Settings!$B$7,ROUND(Settings!$B$8*IF($E70="LONG",H70,I70),2)))</f>
        <v/>
      </c>
      <c r="K70" s="8">
        <f>IF($E70="","",IF($E70="LONG",H70+J70,I70-J70))</f>
        <v/>
      </c>
      <c r="L70" s="7" t="n"/>
      <c r="M70" s="8">
        <f>IF($E70="","",IF($E70="LONG",K70-O70,K70+O70))</f>
        <v/>
      </c>
      <c r="N70" s="7" t="n"/>
      <c r="O70" s="8">
        <f>IF(OR($E70="",AP70=""),"",ROUNDUP(ROUND(MAX(IF($E70="LONG",K70-I70,H70-K70),Settings!$B$9*AP70),6),2))</f>
        <v/>
      </c>
      <c r="P70" s="8">
        <f>IF($E70="","",N70*Settings!$B$4)</f>
        <v/>
      </c>
      <c r="Q70" s="9">
        <f>IF(O70="","",MIN(INT(ROUND(P70/O70,6)),INT(ROUND(Settings!$B$5/K70,6))))</f>
        <v/>
      </c>
      <c r="R70" s="8">
        <f>IF(O70="","",Q70*O70)</f>
        <v/>
      </c>
      <c r="S70" s="8">
        <f>IF(O70="","",IF($E70="LONG",K70+Settings!$B$6*O70,K70-Settings!$B$6*O70))</f>
        <v/>
      </c>
      <c r="T70" s="7" t="n"/>
      <c r="V70" s="8">
        <f>IF(OR($E70="",T70=""),"",IF($E70="LONG",(T70-L70)*Q70,(L70-T70)*Q70))</f>
        <v/>
      </c>
      <c r="W70" s="10">
        <f>IF(V70="","",V70/N70)</f>
        <v/>
      </c>
      <c r="X70" s="11">
        <f>IF(V70="","",V70/R70)</f>
        <v/>
      </c>
      <c r="Y70" s="8">
        <f>IF(OR($E70="",L70=""),"",IF($E70="LONG",L70-K70,K70-L70))</f>
        <v/>
      </c>
      <c r="AP70" s="7" t="n"/>
    </row>
    <row r="71">
      <c r="H71" s="7" t="n"/>
      <c r="I71" s="7" t="n"/>
      <c r="J71" s="8">
        <f>IF($E71="","",MAX(Settings!$B$7,ROUND(Settings!$B$8*IF($E71="LONG",H71,I71),2)))</f>
        <v/>
      </c>
      <c r="K71" s="8">
        <f>IF($E71="","",IF($E71="LONG",H71+J71,I71-J71))</f>
        <v/>
      </c>
      <c r="L71" s="7" t="n"/>
      <c r="M71" s="8">
        <f>IF($E71="","",IF($E71="LONG",K71-O71,K71+O71))</f>
        <v/>
      </c>
      <c r="N71" s="7" t="n"/>
      <c r="O71" s="8">
        <f>IF(OR($E71="",AP71=""),"",ROUNDUP(ROUND(MAX(IF($E71="LONG",K71-I71,H71-K71),Settings!$B$9*AP71),6),2))</f>
        <v/>
      </c>
      <c r="P71" s="8">
        <f>IF($E71="","",N71*Settings!$B$4)</f>
        <v/>
      </c>
      <c r="Q71" s="9">
        <f>IF(O71="","",MIN(INT(ROUND(P71/O71,6)),INT(ROUND(Settings!$B$5/K71,6))))</f>
        <v/>
      </c>
      <c r="R71" s="8">
        <f>IF(O71="","",Q71*O71)</f>
        <v/>
      </c>
      <c r="S71" s="8">
        <f>IF(O71="","",IF($E71="LONG",K71+Settings!$B$6*O71,K71-Settings!$B$6*O71))</f>
        <v/>
      </c>
      <c r="T71" s="7" t="n"/>
      <c r="V71" s="8">
        <f>IF(OR($E71="",T71=""),"",IF($E71="LONG",(T71-L71)*Q71,(L71-T71)*Q71))</f>
        <v/>
      </c>
      <c r="W71" s="10">
        <f>IF(V71="","",V71/N71)</f>
        <v/>
      </c>
      <c r="X71" s="11">
        <f>IF(V71="","",V71/R71)</f>
        <v/>
      </c>
      <c r="Y71" s="8">
        <f>IF(OR($E71="",L71=""),"",IF($E71="LONG",L71-K71,K71-L71))</f>
        <v/>
      </c>
      <c r="AP71" s="7" t="n"/>
    </row>
    <row r="72">
      <c r="H72" s="7" t="n"/>
      <c r="I72" s="7" t="n"/>
      <c r="J72" s="8">
        <f>IF($E72="","",MAX(Settings!$B$7,ROUND(Settings!$B$8*IF($E72="LONG",H72,I72),2)))</f>
        <v/>
      </c>
      <c r="K72" s="8">
        <f>IF($E72="","",IF($E72="LONG",H72+J72,I72-J72))</f>
        <v/>
      </c>
      <c r="L72" s="7" t="n"/>
      <c r="M72" s="8">
        <f>IF($E72="","",IF($E72="LONG",K72-O72,K72+O72))</f>
        <v/>
      </c>
      <c r="N72" s="7" t="n"/>
      <c r="O72" s="8">
        <f>IF(OR($E72="",AP72=""),"",ROUNDUP(ROUND(MAX(IF($E72="LONG",K72-I72,H72-K72),Settings!$B$9*AP72),6),2))</f>
        <v/>
      </c>
      <c r="P72" s="8">
        <f>IF($E72="","",N72*Settings!$B$4)</f>
        <v/>
      </c>
      <c r="Q72" s="9">
        <f>IF(O72="","",MIN(INT(ROUND(P72/O72,6)),INT(ROUND(Settings!$B$5/K72,6))))</f>
        <v/>
      </c>
      <c r="R72" s="8">
        <f>IF(O72="","",Q72*O72)</f>
        <v/>
      </c>
      <c r="S72" s="8">
        <f>IF(O72="","",IF($E72="LONG",K72+Settings!$B$6*O72,K72-Settings!$B$6*O72))</f>
        <v/>
      </c>
      <c r="T72" s="7" t="n"/>
      <c r="V72" s="8">
        <f>IF(OR($E72="",T72=""),"",IF($E72="LONG",(T72-L72)*Q72,(L72-T72)*Q72))</f>
        <v/>
      </c>
      <c r="W72" s="10">
        <f>IF(V72="","",V72/N72)</f>
        <v/>
      </c>
      <c r="X72" s="11">
        <f>IF(V72="","",V72/R72)</f>
        <v/>
      </c>
      <c r="Y72" s="8">
        <f>IF(OR($E72="",L72=""),"",IF($E72="LONG",L72-K72,K72-L72))</f>
        <v/>
      </c>
      <c r="AP72" s="7" t="n"/>
    </row>
    <row r="73">
      <c r="H73" s="7" t="n"/>
      <c r="I73" s="7" t="n"/>
      <c r="J73" s="8">
        <f>IF($E73="","",MAX(Settings!$B$7,ROUND(Settings!$B$8*IF($E73="LONG",H73,I73),2)))</f>
        <v/>
      </c>
      <c r="K73" s="8">
        <f>IF($E73="","",IF($E73="LONG",H73+J73,I73-J73))</f>
        <v/>
      </c>
      <c r="L73" s="7" t="n"/>
      <c r="M73" s="8">
        <f>IF($E73="","",IF($E73="LONG",K73-O73,K73+O73))</f>
        <v/>
      </c>
      <c r="N73" s="7" t="n"/>
      <c r="O73" s="8">
        <f>IF(OR($E73="",AP73=""),"",ROUNDUP(ROUND(MAX(IF($E73="LONG",K73-I73,H73-K73),Settings!$B$9*AP73),6),2))</f>
        <v/>
      </c>
      <c r="P73" s="8">
        <f>IF($E73="","",N73*Settings!$B$4)</f>
        <v/>
      </c>
      <c r="Q73" s="9">
        <f>IF(O73="","",MIN(INT(ROUND(P73/O73,6)),INT(ROUND(Settings!$B$5/K73,6))))</f>
        <v/>
      </c>
      <c r="R73" s="8">
        <f>IF(O73="","",Q73*O73)</f>
        <v/>
      </c>
      <c r="S73" s="8">
        <f>IF(O73="","",IF($E73="LONG",K73+Settings!$B$6*O73,K73-Settings!$B$6*O73))</f>
        <v/>
      </c>
      <c r="T73" s="7" t="n"/>
      <c r="V73" s="8">
        <f>IF(OR($E73="",T73=""),"",IF($E73="LONG",(T73-L73)*Q73,(L73-T73)*Q73))</f>
        <v/>
      </c>
      <c r="W73" s="10">
        <f>IF(V73="","",V73/N73)</f>
        <v/>
      </c>
      <c r="X73" s="11">
        <f>IF(V73="","",V73/R73)</f>
        <v/>
      </c>
      <c r="Y73" s="8">
        <f>IF(OR($E73="",L73=""),"",IF($E73="LONG",L73-K73,K73-L73))</f>
        <v/>
      </c>
      <c r="AP73" s="7" t="n"/>
    </row>
    <row r="74">
      <c r="H74" s="7" t="n"/>
      <c r="I74" s="7" t="n"/>
      <c r="J74" s="8">
        <f>IF($E74="","",MAX(Settings!$B$7,ROUND(Settings!$B$8*IF($E74="LONG",H74,I74),2)))</f>
        <v/>
      </c>
      <c r="K74" s="8">
        <f>IF($E74="","",IF($E74="LONG",H74+J74,I74-J74))</f>
        <v/>
      </c>
      <c r="L74" s="7" t="n"/>
      <c r="M74" s="8">
        <f>IF($E74="","",IF($E74="LONG",K74-O74,K74+O74))</f>
        <v/>
      </c>
      <c r="N74" s="7" t="n"/>
      <c r="O74" s="8">
        <f>IF(OR($E74="",AP74=""),"",ROUNDUP(ROUND(MAX(IF($E74="LONG",K74-I74,H74-K74),Settings!$B$9*AP74),6),2))</f>
        <v/>
      </c>
      <c r="P74" s="8">
        <f>IF($E74="","",N74*Settings!$B$4)</f>
        <v/>
      </c>
      <c r="Q74" s="9">
        <f>IF(O74="","",MIN(INT(ROUND(P74/O74,6)),INT(ROUND(Settings!$B$5/K74,6))))</f>
        <v/>
      </c>
      <c r="R74" s="8">
        <f>IF(O74="","",Q74*O74)</f>
        <v/>
      </c>
      <c r="S74" s="8">
        <f>IF(O74="","",IF($E74="LONG",K74+Settings!$B$6*O74,K74-Settings!$B$6*O74))</f>
        <v/>
      </c>
      <c r="T74" s="7" t="n"/>
      <c r="V74" s="8">
        <f>IF(OR($E74="",T74=""),"",IF($E74="LONG",(T74-L74)*Q74,(L74-T74)*Q74))</f>
        <v/>
      </c>
      <c r="W74" s="10">
        <f>IF(V74="","",V74/N74)</f>
        <v/>
      </c>
      <c r="X74" s="11">
        <f>IF(V74="","",V74/R74)</f>
        <v/>
      </c>
      <c r="Y74" s="8">
        <f>IF(OR($E74="",L74=""),"",IF($E74="LONG",L74-K74,K74-L74))</f>
        <v/>
      </c>
      <c r="AP74" s="7" t="n"/>
    </row>
    <row r="75">
      <c r="H75" s="7" t="n"/>
      <c r="I75" s="7" t="n"/>
      <c r="J75" s="8">
        <f>IF($E75="","",MAX(Settings!$B$7,ROUND(Settings!$B$8*IF($E75="LONG",H75,I75),2)))</f>
        <v/>
      </c>
      <c r="K75" s="8">
        <f>IF($E75="","",IF($E75="LONG",H75+J75,I75-J75))</f>
        <v/>
      </c>
      <c r="L75" s="7" t="n"/>
      <c r="M75" s="8">
        <f>IF($E75="","",IF($E75="LONG",K75-O75,K75+O75))</f>
        <v/>
      </c>
      <c r="N75" s="7" t="n"/>
      <c r="O75" s="8">
        <f>IF(OR($E75="",AP75=""),"",ROUNDUP(ROUND(MAX(IF($E75="LONG",K75-I75,H75-K75),Settings!$B$9*AP75),6),2))</f>
        <v/>
      </c>
      <c r="P75" s="8">
        <f>IF($E75="","",N75*Settings!$B$4)</f>
        <v/>
      </c>
      <c r="Q75" s="9">
        <f>IF(O75="","",MIN(INT(ROUND(P75/O75,6)),INT(ROUND(Settings!$B$5/K75,6))))</f>
        <v/>
      </c>
      <c r="R75" s="8">
        <f>IF(O75="","",Q75*O75)</f>
        <v/>
      </c>
      <c r="S75" s="8">
        <f>IF(O75="","",IF($E75="LONG",K75+Settings!$B$6*O75,K75-Settings!$B$6*O75))</f>
        <v/>
      </c>
      <c r="T75" s="7" t="n"/>
      <c r="V75" s="8">
        <f>IF(OR($E75="",T75=""),"",IF($E75="LONG",(T75-L75)*Q75,(L75-T75)*Q75))</f>
        <v/>
      </c>
      <c r="W75" s="10">
        <f>IF(V75="","",V75/N75)</f>
        <v/>
      </c>
      <c r="X75" s="11">
        <f>IF(V75="","",V75/R75)</f>
        <v/>
      </c>
      <c r="Y75" s="8">
        <f>IF(OR($E75="",L75=""),"",IF($E75="LONG",L75-K75,K75-L75))</f>
        <v/>
      </c>
      <c r="AP75" s="7" t="n"/>
    </row>
    <row r="76">
      <c r="H76" s="7" t="n"/>
      <c r="I76" s="7" t="n"/>
      <c r="J76" s="8">
        <f>IF($E76="","",MAX(Settings!$B$7,ROUND(Settings!$B$8*IF($E76="LONG",H76,I76),2)))</f>
        <v/>
      </c>
      <c r="K76" s="8">
        <f>IF($E76="","",IF($E76="LONG",H76+J76,I76-J76))</f>
        <v/>
      </c>
      <c r="L76" s="7" t="n"/>
      <c r="M76" s="8">
        <f>IF($E76="","",IF($E76="LONG",K76-O76,K76+O76))</f>
        <v/>
      </c>
      <c r="N76" s="7" t="n"/>
      <c r="O76" s="8">
        <f>IF(OR($E76="",AP76=""),"",ROUNDUP(ROUND(MAX(IF($E76="LONG",K76-I76,H76-K76),Settings!$B$9*AP76),6),2))</f>
        <v/>
      </c>
      <c r="P76" s="8">
        <f>IF($E76="","",N76*Settings!$B$4)</f>
        <v/>
      </c>
      <c r="Q76" s="9">
        <f>IF(O76="","",MIN(INT(ROUND(P76/O76,6)),INT(ROUND(Settings!$B$5/K76,6))))</f>
        <v/>
      </c>
      <c r="R76" s="8">
        <f>IF(O76="","",Q76*O76)</f>
        <v/>
      </c>
      <c r="S76" s="8">
        <f>IF(O76="","",IF($E76="LONG",K76+Settings!$B$6*O76,K76-Settings!$B$6*O76))</f>
        <v/>
      </c>
      <c r="T76" s="7" t="n"/>
      <c r="V76" s="8">
        <f>IF(OR($E76="",T76=""),"",IF($E76="LONG",(T76-L76)*Q76,(L76-T76)*Q76))</f>
        <v/>
      </c>
      <c r="W76" s="10">
        <f>IF(V76="","",V76/N76)</f>
        <v/>
      </c>
      <c r="X76" s="11">
        <f>IF(V76="","",V76/R76)</f>
        <v/>
      </c>
      <c r="Y76" s="8">
        <f>IF(OR($E76="",L76=""),"",IF($E76="LONG",L76-K76,K76-L76))</f>
        <v/>
      </c>
      <c r="AP76" s="7" t="n"/>
    </row>
    <row r="77">
      <c r="H77" s="7" t="n"/>
      <c r="I77" s="7" t="n"/>
      <c r="J77" s="8">
        <f>IF($E77="","",MAX(Settings!$B$7,ROUND(Settings!$B$8*IF($E77="LONG",H77,I77),2)))</f>
        <v/>
      </c>
      <c r="K77" s="8">
        <f>IF($E77="","",IF($E77="LONG",H77+J77,I77-J77))</f>
        <v/>
      </c>
      <c r="L77" s="7" t="n"/>
      <c r="M77" s="8">
        <f>IF($E77="","",IF($E77="LONG",K77-O77,K77+O77))</f>
        <v/>
      </c>
      <c r="N77" s="7" t="n"/>
      <c r="O77" s="8">
        <f>IF(OR($E77="",AP77=""),"",ROUNDUP(ROUND(MAX(IF($E77="LONG",K77-I77,H77-K77),Settings!$B$9*AP77),6),2))</f>
        <v/>
      </c>
      <c r="P77" s="8">
        <f>IF($E77="","",N77*Settings!$B$4)</f>
        <v/>
      </c>
      <c r="Q77" s="9">
        <f>IF(O77="","",MIN(INT(ROUND(P77/O77,6)),INT(ROUND(Settings!$B$5/K77,6))))</f>
        <v/>
      </c>
      <c r="R77" s="8">
        <f>IF(O77="","",Q77*O77)</f>
        <v/>
      </c>
      <c r="S77" s="8">
        <f>IF(O77="","",IF($E77="LONG",K77+Settings!$B$6*O77,K77-Settings!$B$6*O77))</f>
        <v/>
      </c>
      <c r="T77" s="7" t="n"/>
      <c r="V77" s="8">
        <f>IF(OR($E77="",T77=""),"",IF($E77="LONG",(T77-L77)*Q77,(L77-T77)*Q77))</f>
        <v/>
      </c>
      <c r="W77" s="10">
        <f>IF(V77="","",V77/N77)</f>
        <v/>
      </c>
      <c r="X77" s="11">
        <f>IF(V77="","",V77/R77)</f>
        <v/>
      </c>
      <c r="Y77" s="8">
        <f>IF(OR($E77="",L77=""),"",IF($E77="LONG",L77-K77,K77-L77))</f>
        <v/>
      </c>
      <c r="AP77" s="7" t="n"/>
    </row>
    <row r="78">
      <c r="H78" s="7" t="n"/>
      <c r="I78" s="7" t="n"/>
      <c r="J78" s="8">
        <f>IF($E78="","",MAX(Settings!$B$7,ROUND(Settings!$B$8*IF($E78="LONG",H78,I78),2)))</f>
        <v/>
      </c>
      <c r="K78" s="8">
        <f>IF($E78="","",IF($E78="LONG",H78+J78,I78-J78))</f>
        <v/>
      </c>
      <c r="L78" s="7" t="n"/>
      <c r="M78" s="8">
        <f>IF($E78="","",IF($E78="LONG",K78-O78,K78+O78))</f>
        <v/>
      </c>
      <c r="N78" s="7" t="n"/>
      <c r="O78" s="8">
        <f>IF(OR($E78="",AP78=""),"",ROUNDUP(ROUND(MAX(IF($E78="LONG",K78-I78,H78-K78),Settings!$B$9*AP78),6),2))</f>
        <v/>
      </c>
      <c r="P78" s="8">
        <f>IF($E78="","",N78*Settings!$B$4)</f>
        <v/>
      </c>
      <c r="Q78" s="9">
        <f>IF(O78="","",MIN(INT(ROUND(P78/O78,6)),INT(ROUND(Settings!$B$5/K78,6))))</f>
        <v/>
      </c>
      <c r="R78" s="8">
        <f>IF(O78="","",Q78*O78)</f>
        <v/>
      </c>
      <c r="S78" s="8">
        <f>IF(O78="","",IF($E78="LONG",K78+Settings!$B$6*O78,K78-Settings!$B$6*O78))</f>
        <v/>
      </c>
      <c r="T78" s="7" t="n"/>
      <c r="V78" s="8">
        <f>IF(OR($E78="",T78=""),"",IF($E78="LONG",(T78-L78)*Q78,(L78-T78)*Q78))</f>
        <v/>
      </c>
      <c r="W78" s="10">
        <f>IF(V78="","",V78/N78)</f>
        <v/>
      </c>
      <c r="X78" s="11">
        <f>IF(V78="","",V78/R78)</f>
        <v/>
      </c>
      <c r="Y78" s="8">
        <f>IF(OR($E78="",L78=""),"",IF($E78="LONG",L78-K78,K78-L78))</f>
        <v/>
      </c>
      <c r="AP78" s="7" t="n"/>
    </row>
    <row r="79">
      <c r="H79" s="7" t="n"/>
      <c r="I79" s="7" t="n"/>
      <c r="J79" s="8">
        <f>IF($E79="","",MAX(Settings!$B$7,ROUND(Settings!$B$8*IF($E79="LONG",H79,I79),2)))</f>
        <v/>
      </c>
      <c r="K79" s="8">
        <f>IF($E79="","",IF($E79="LONG",H79+J79,I79-J79))</f>
        <v/>
      </c>
      <c r="L79" s="7" t="n"/>
      <c r="M79" s="8">
        <f>IF($E79="","",IF($E79="LONG",K79-O79,K79+O79))</f>
        <v/>
      </c>
      <c r="N79" s="7" t="n"/>
      <c r="O79" s="8">
        <f>IF(OR($E79="",AP79=""),"",ROUNDUP(ROUND(MAX(IF($E79="LONG",K79-I79,H79-K79),Settings!$B$9*AP79),6),2))</f>
        <v/>
      </c>
      <c r="P79" s="8">
        <f>IF($E79="","",N79*Settings!$B$4)</f>
        <v/>
      </c>
      <c r="Q79" s="9">
        <f>IF(O79="","",MIN(INT(ROUND(P79/O79,6)),INT(ROUND(Settings!$B$5/K79,6))))</f>
        <v/>
      </c>
      <c r="R79" s="8">
        <f>IF(O79="","",Q79*O79)</f>
        <v/>
      </c>
      <c r="S79" s="8">
        <f>IF(O79="","",IF($E79="LONG",K79+Settings!$B$6*O79,K79-Settings!$B$6*O79))</f>
        <v/>
      </c>
      <c r="T79" s="7" t="n"/>
      <c r="V79" s="8">
        <f>IF(OR($E79="",T79=""),"",IF($E79="LONG",(T79-L79)*Q79,(L79-T79)*Q79))</f>
        <v/>
      </c>
      <c r="W79" s="10">
        <f>IF(V79="","",V79/N79)</f>
        <v/>
      </c>
      <c r="X79" s="11">
        <f>IF(V79="","",V79/R79)</f>
        <v/>
      </c>
      <c r="Y79" s="8">
        <f>IF(OR($E79="",L79=""),"",IF($E79="LONG",L79-K79,K79-L79))</f>
        <v/>
      </c>
      <c r="AP79" s="7" t="n"/>
    </row>
    <row r="80">
      <c r="H80" s="7" t="n"/>
      <c r="I80" s="7" t="n"/>
      <c r="J80" s="8">
        <f>IF($E80="","",MAX(Settings!$B$7,ROUND(Settings!$B$8*IF($E80="LONG",H80,I80),2)))</f>
        <v/>
      </c>
      <c r="K80" s="8">
        <f>IF($E80="","",IF($E80="LONG",H80+J80,I80-J80))</f>
        <v/>
      </c>
      <c r="L80" s="7" t="n"/>
      <c r="M80" s="8">
        <f>IF($E80="","",IF($E80="LONG",K80-O80,K80+O80))</f>
        <v/>
      </c>
      <c r="N80" s="7" t="n"/>
      <c r="O80" s="8">
        <f>IF(OR($E80="",AP80=""),"",ROUNDUP(ROUND(MAX(IF($E80="LONG",K80-I80,H80-K80),Settings!$B$9*AP80),6),2))</f>
        <v/>
      </c>
      <c r="P80" s="8">
        <f>IF($E80="","",N80*Settings!$B$4)</f>
        <v/>
      </c>
      <c r="Q80" s="9">
        <f>IF(O80="","",MIN(INT(ROUND(P80/O80,6)),INT(ROUND(Settings!$B$5/K80,6))))</f>
        <v/>
      </c>
      <c r="R80" s="8">
        <f>IF(O80="","",Q80*O80)</f>
        <v/>
      </c>
      <c r="S80" s="8">
        <f>IF(O80="","",IF($E80="LONG",K80+Settings!$B$6*O80,K80-Settings!$B$6*O80))</f>
        <v/>
      </c>
      <c r="T80" s="7" t="n"/>
      <c r="V80" s="8">
        <f>IF(OR($E80="",T80=""),"",IF($E80="LONG",(T80-L80)*Q80,(L80-T80)*Q80))</f>
        <v/>
      </c>
      <c r="W80" s="10">
        <f>IF(V80="","",V80/N80)</f>
        <v/>
      </c>
      <c r="X80" s="11">
        <f>IF(V80="","",V80/R80)</f>
        <v/>
      </c>
      <c r="Y80" s="8">
        <f>IF(OR($E80="",L80=""),"",IF($E80="LONG",L80-K80,K80-L80))</f>
        <v/>
      </c>
      <c r="AP80" s="7" t="n"/>
    </row>
    <row r="81">
      <c r="H81" s="7" t="n"/>
      <c r="I81" s="7" t="n"/>
      <c r="J81" s="8">
        <f>IF($E81="","",MAX(Settings!$B$7,ROUND(Settings!$B$8*IF($E81="LONG",H81,I81),2)))</f>
        <v/>
      </c>
      <c r="K81" s="8">
        <f>IF($E81="","",IF($E81="LONG",H81+J81,I81-J81))</f>
        <v/>
      </c>
      <c r="L81" s="7" t="n"/>
      <c r="M81" s="8">
        <f>IF($E81="","",IF($E81="LONG",K81-O81,K81+O81))</f>
        <v/>
      </c>
      <c r="N81" s="7" t="n"/>
      <c r="O81" s="8">
        <f>IF(OR($E81="",AP81=""),"",ROUNDUP(ROUND(MAX(IF($E81="LONG",K81-I81,H81-K81),Settings!$B$9*AP81),6),2))</f>
        <v/>
      </c>
      <c r="P81" s="8">
        <f>IF($E81="","",N81*Settings!$B$4)</f>
        <v/>
      </c>
      <c r="Q81" s="9">
        <f>IF(O81="","",MIN(INT(ROUND(P81/O81,6)),INT(ROUND(Settings!$B$5/K81,6))))</f>
        <v/>
      </c>
      <c r="R81" s="8">
        <f>IF(O81="","",Q81*O81)</f>
        <v/>
      </c>
      <c r="S81" s="8">
        <f>IF(O81="","",IF($E81="LONG",K81+Settings!$B$6*O81,K81-Settings!$B$6*O81))</f>
        <v/>
      </c>
      <c r="T81" s="7" t="n"/>
      <c r="V81" s="8">
        <f>IF(OR($E81="",T81=""),"",IF($E81="LONG",(T81-L81)*Q81,(L81-T81)*Q81))</f>
        <v/>
      </c>
      <c r="W81" s="10">
        <f>IF(V81="","",V81/N81)</f>
        <v/>
      </c>
      <c r="X81" s="11">
        <f>IF(V81="","",V81/R81)</f>
        <v/>
      </c>
      <c r="Y81" s="8">
        <f>IF(OR($E81="",L81=""),"",IF($E81="LONG",L81-K81,K81-L81))</f>
        <v/>
      </c>
      <c r="AP81" s="7" t="n"/>
    </row>
    <row r="82">
      <c r="H82" s="7" t="n"/>
      <c r="I82" s="7" t="n"/>
      <c r="J82" s="8">
        <f>IF($E82="","",MAX(Settings!$B$7,ROUND(Settings!$B$8*IF($E82="LONG",H82,I82),2)))</f>
        <v/>
      </c>
      <c r="K82" s="8">
        <f>IF($E82="","",IF($E82="LONG",H82+J82,I82-J82))</f>
        <v/>
      </c>
      <c r="L82" s="7" t="n"/>
      <c r="M82" s="8">
        <f>IF($E82="","",IF($E82="LONG",K82-O82,K82+O82))</f>
        <v/>
      </c>
      <c r="N82" s="7" t="n"/>
      <c r="O82" s="8">
        <f>IF(OR($E82="",AP82=""),"",ROUNDUP(ROUND(MAX(IF($E82="LONG",K82-I82,H82-K82),Settings!$B$9*AP82),6),2))</f>
        <v/>
      </c>
      <c r="P82" s="8">
        <f>IF($E82="","",N82*Settings!$B$4)</f>
        <v/>
      </c>
      <c r="Q82" s="9">
        <f>IF(O82="","",MIN(INT(ROUND(P82/O82,6)),INT(ROUND(Settings!$B$5/K82,6))))</f>
        <v/>
      </c>
      <c r="R82" s="8">
        <f>IF(O82="","",Q82*O82)</f>
        <v/>
      </c>
      <c r="S82" s="8">
        <f>IF(O82="","",IF($E82="LONG",K82+Settings!$B$6*O82,K82-Settings!$B$6*O82))</f>
        <v/>
      </c>
      <c r="T82" s="7" t="n"/>
      <c r="V82" s="8">
        <f>IF(OR($E82="",T82=""),"",IF($E82="LONG",(T82-L82)*Q82,(L82-T82)*Q82))</f>
        <v/>
      </c>
      <c r="W82" s="10">
        <f>IF(V82="","",V82/N82)</f>
        <v/>
      </c>
      <c r="X82" s="11">
        <f>IF(V82="","",V82/R82)</f>
        <v/>
      </c>
      <c r="Y82" s="8">
        <f>IF(OR($E82="",L82=""),"",IF($E82="LONG",L82-K82,K82-L82))</f>
        <v/>
      </c>
      <c r="AP82" s="7" t="n"/>
    </row>
    <row r="83">
      <c r="H83" s="7" t="n"/>
      <c r="I83" s="7" t="n"/>
      <c r="J83" s="8">
        <f>IF($E83="","",MAX(Settings!$B$7,ROUND(Settings!$B$8*IF($E83="LONG",H83,I83),2)))</f>
        <v/>
      </c>
      <c r="K83" s="8">
        <f>IF($E83="","",IF($E83="LONG",H83+J83,I83-J83))</f>
        <v/>
      </c>
      <c r="L83" s="7" t="n"/>
      <c r="M83" s="8">
        <f>IF($E83="","",IF($E83="LONG",K83-O83,K83+O83))</f>
        <v/>
      </c>
      <c r="N83" s="7" t="n"/>
      <c r="O83" s="8">
        <f>IF(OR($E83="",AP83=""),"",ROUNDUP(ROUND(MAX(IF($E83="LONG",K83-I83,H83-K83),Settings!$B$9*AP83),6),2))</f>
        <v/>
      </c>
      <c r="P83" s="8">
        <f>IF($E83="","",N83*Settings!$B$4)</f>
        <v/>
      </c>
      <c r="Q83" s="9">
        <f>IF(O83="","",MIN(INT(ROUND(P83/O83,6)),INT(ROUND(Settings!$B$5/K83,6))))</f>
        <v/>
      </c>
      <c r="R83" s="8">
        <f>IF(O83="","",Q83*O83)</f>
        <v/>
      </c>
      <c r="S83" s="8">
        <f>IF(O83="","",IF($E83="LONG",K83+Settings!$B$6*O83,K83-Settings!$B$6*O83))</f>
        <v/>
      </c>
      <c r="T83" s="7" t="n"/>
      <c r="V83" s="8">
        <f>IF(OR($E83="",T83=""),"",IF($E83="LONG",(T83-L83)*Q83,(L83-T83)*Q83))</f>
        <v/>
      </c>
      <c r="W83" s="10">
        <f>IF(V83="","",V83/N83)</f>
        <v/>
      </c>
      <c r="X83" s="11">
        <f>IF(V83="","",V83/R83)</f>
        <v/>
      </c>
      <c r="Y83" s="8">
        <f>IF(OR($E83="",L83=""),"",IF($E83="LONG",L83-K83,K83-L83))</f>
        <v/>
      </c>
      <c r="AP83" s="7" t="n"/>
    </row>
    <row r="84">
      <c r="H84" s="7" t="n"/>
      <c r="I84" s="7" t="n"/>
      <c r="J84" s="8">
        <f>IF($E84="","",MAX(Settings!$B$7,ROUND(Settings!$B$8*IF($E84="LONG",H84,I84),2)))</f>
        <v/>
      </c>
      <c r="K84" s="8">
        <f>IF($E84="","",IF($E84="LONG",H84+J84,I84-J84))</f>
        <v/>
      </c>
      <c r="L84" s="7" t="n"/>
      <c r="M84" s="8">
        <f>IF($E84="","",IF($E84="LONG",K84-O84,K84+O84))</f>
        <v/>
      </c>
      <c r="N84" s="7" t="n"/>
      <c r="O84" s="8">
        <f>IF(OR($E84="",AP84=""),"",ROUNDUP(ROUND(MAX(IF($E84="LONG",K84-I84,H84-K84),Settings!$B$9*AP84),6),2))</f>
        <v/>
      </c>
      <c r="P84" s="8">
        <f>IF($E84="","",N84*Settings!$B$4)</f>
        <v/>
      </c>
      <c r="Q84" s="9">
        <f>IF(O84="","",MIN(INT(ROUND(P84/O84,6)),INT(ROUND(Settings!$B$5/K84,6))))</f>
        <v/>
      </c>
      <c r="R84" s="8">
        <f>IF(O84="","",Q84*O84)</f>
        <v/>
      </c>
      <c r="S84" s="8">
        <f>IF(O84="","",IF($E84="LONG",K84+Settings!$B$6*O84,K84-Settings!$B$6*O84))</f>
        <v/>
      </c>
      <c r="T84" s="7" t="n"/>
      <c r="V84" s="8">
        <f>IF(OR($E84="",T84=""),"",IF($E84="LONG",(T84-L84)*Q84,(L84-T84)*Q84))</f>
        <v/>
      </c>
      <c r="W84" s="10">
        <f>IF(V84="","",V84/N84)</f>
        <v/>
      </c>
      <c r="X84" s="11">
        <f>IF(V84="","",V84/R84)</f>
        <v/>
      </c>
      <c r="Y84" s="8">
        <f>IF(OR($E84="",L84=""),"",IF($E84="LONG",L84-K84,K84-L84))</f>
        <v/>
      </c>
      <c r="AP84" s="7" t="n"/>
    </row>
    <row r="85">
      <c r="H85" s="7" t="n"/>
      <c r="I85" s="7" t="n"/>
      <c r="J85" s="8">
        <f>IF($E85="","",MAX(Settings!$B$7,ROUND(Settings!$B$8*IF($E85="LONG",H85,I85),2)))</f>
        <v/>
      </c>
      <c r="K85" s="8">
        <f>IF($E85="","",IF($E85="LONG",H85+J85,I85-J85))</f>
        <v/>
      </c>
      <c r="L85" s="7" t="n"/>
      <c r="M85" s="8">
        <f>IF($E85="","",IF($E85="LONG",K85-O85,K85+O85))</f>
        <v/>
      </c>
      <c r="N85" s="7" t="n"/>
      <c r="O85" s="8">
        <f>IF(OR($E85="",AP85=""),"",ROUNDUP(ROUND(MAX(IF($E85="LONG",K85-I85,H85-K85),Settings!$B$9*AP85),6),2))</f>
        <v/>
      </c>
      <c r="P85" s="8">
        <f>IF($E85="","",N85*Settings!$B$4)</f>
        <v/>
      </c>
      <c r="Q85" s="9">
        <f>IF(O85="","",MIN(INT(ROUND(P85/O85,6)),INT(ROUND(Settings!$B$5/K85,6))))</f>
        <v/>
      </c>
      <c r="R85" s="8">
        <f>IF(O85="","",Q85*O85)</f>
        <v/>
      </c>
      <c r="S85" s="8">
        <f>IF(O85="","",IF($E85="LONG",K85+Settings!$B$6*O85,K85-Settings!$B$6*O85))</f>
        <v/>
      </c>
      <c r="T85" s="7" t="n"/>
      <c r="V85" s="8">
        <f>IF(OR($E85="",T85=""),"",IF($E85="LONG",(T85-L85)*Q85,(L85-T85)*Q85))</f>
        <v/>
      </c>
      <c r="W85" s="10">
        <f>IF(V85="","",V85/N85)</f>
        <v/>
      </c>
      <c r="X85" s="11">
        <f>IF(V85="","",V85/R85)</f>
        <v/>
      </c>
      <c r="Y85" s="8">
        <f>IF(OR($E85="",L85=""),"",IF($E85="LONG",L85-K85,K85-L85))</f>
        <v/>
      </c>
      <c r="AP85" s="7" t="n"/>
    </row>
    <row r="86">
      <c r="H86" s="7" t="n"/>
      <c r="I86" s="7" t="n"/>
      <c r="J86" s="8">
        <f>IF($E86="","",MAX(Settings!$B$7,ROUND(Settings!$B$8*IF($E86="LONG",H86,I86),2)))</f>
        <v/>
      </c>
      <c r="K86" s="8">
        <f>IF($E86="","",IF($E86="LONG",H86+J86,I86-J86))</f>
        <v/>
      </c>
      <c r="L86" s="7" t="n"/>
      <c r="M86" s="8">
        <f>IF($E86="","",IF($E86="LONG",K86-O86,K86+O86))</f>
        <v/>
      </c>
      <c r="N86" s="7" t="n"/>
      <c r="O86" s="8">
        <f>IF(OR($E86="",AP86=""),"",ROUNDUP(ROUND(MAX(IF($E86="LONG",K86-I86,H86-K86),Settings!$B$9*AP86),6),2))</f>
        <v/>
      </c>
      <c r="P86" s="8">
        <f>IF($E86="","",N86*Settings!$B$4)</f>
        <v/>
      </c>
      <c r="Q86" s="9">
        <f>IF(O86="","",MIN(INT(ROUND(P86/O86,6)),INT(ROUND(Settings!$B$5/K86,6))))</f>
        <v/>
      </c>
      <c r="R86" s="8">
        <f>IF(O86="","",Q86*O86)</f>
        <v/>
      </c>
      <c r="S86" s="8">
        <f>IF(O86="","",IF($E86="LONG",K86+Settings!$B$6*O86,K86-Settings!$B$6*O86))</f>
        <v/>
      </c>
      <c r="T86" s="7" t="n"/>
      <c r="V86" s="8">
        <f>IF(OR($E86="",T86=""),"",IF($E86="LONG",(T86-L86)*Q86,(L86-T86)*Q86))</f>
        <v/>
      </c>
      <c r="W86" s="10">
        <f>IF(V86="","",V86/N86)</f>
        <v/>
      </c>
      <c r="X86" s="11">
        <f>IF(V86="","",V86/R86)</f>
        <v/>
      </c>
      <c r="Y86" s="8">
        <f>IF(OR($E86="",L86=""),"",IF($E86="LONG",L86-K86,K86-L86))</f>
        <v/>
      </c>
      <c r="AP86" s="7" t="n"/>
    </row>
    <row r="87">
      <c r="H87" s="7" t="n"/>
      <c r="I87" s="7" t="n"/>
      <c r="J87" s="8">
        <f>IF($E87="","",MAX(Settings!$B$7,ROUND(Settings!$B$8*IF($E87="LONG",H87,I87),2)))</f>
        <v/>
      </c>
      <c r="K87" s="8">
        <f>IF($E87="","",IF($E87="LONG",H87+J87,I87-J87))</f>
        <v/>
      </c>
      <c r="L87" s="7" t="n"/>
      <c r="M87" s="8">
        <f>IF($E87="","",IF($E87="LONG",K87-O87,K87+O87))</f>
        <v/>
      </c>
      <c r="N87" s="7" t="n"/>
      <c r="O87" s="8">
        <f>IF(OR($E87="",AP87=""),"",ROUNDUP(ROUND(MAX(IF($E87="LONG",K87-I87,H87-K87),Settings!$B$9*AP87),6),2))</f>
        <v/>
      </c>
      <c r="P87" s="8">
        <f>IF($E87="","",N87*Settings!$B$4)</f>
        <v/>
      </c>
      <c r="Q87" s="9">
        <f>IF(O87="","",MIN(INT(ROUND(P87/O87,6)),INT(ROUND(Settings!$B$5/K87,6))))</f>
        <v/>
      </c>
      <c r="R87" s="8">
        <f>IF(O87="","",Q87*O87)</f>
        <v/>
      </c>
      <c r="S87" s="8">
        <f>IF(O87="","",IF($E87="LONG",K87+Settings!$B$6*O87,K87-Settings!$B$6*O87))</f>
        <v/>
      </c>
      <c r="T87" s="7" t="n"/>
      <c r="V87" s="8">
        <f>IF(OR($E87="",T87=""),"",IF($E87="LONG",(T87-L87)*Q87,(L87-T87)*Q87))</f>
        <v/>
      </c>
      <c r="W87" s="10">
        <f>IF(V87="","",V87/N87)</f>
        <v/>
      </c>
      <c r="X87" s="11">
        <f>IF(V87="","",V87/R87)</f>
        <v/>
      </c>
      <c r="Y87" s="8">
        <f>IF(OR($E87="",L87=""),"",IF($E87="LONG",L87-K87,K87-L87))</f>
        <v/>
      </c>
      <c r="AP87" s="7" t="n"/>
    </row>
    <row r="88">
      <c r="H88" s="7" t="n"/>
      <c r="I88" s="7" t="n"/>
      <c r="J88" s="8">
        <f>IF($E88="","",MAX(Settings!$B$7,ROUND(Settings!$B$8*IF($E88="LONG",H88,I88),2)))</f>
        <v/>
      </c>
      <c r="K88" s="8">
        <f>IF($E88="","",IF($E88="LONG",H88+J88,I88-J88))</f>
        <v/>
      </c>
      <c r="L88" s="7" t="n"/>
      <c r="M88" s="8">
        <f>IF($E88="","",IF($E88="LONG",K88-O88,K88+O88))</f>
        <v/>
      </c>
      <c r="N88" s="7" t="n"/>
      <c r="O88" s="8">
        <f>IF(OR($E88="",AP88=""),"",ROUNDUP(ROUND(MAX(IF($E88="LONG",K88-I88,H88-K88),Settings!$B$9*AP88),6),2))</f>
        <v/>
      </c>
      <c r="P88" s="8">
        <f>IF($E88="","",N88*Settings!$B$4)</f>
        <v/>
      </c>
      <c r="Q88" s="9">
        <f>IF(O88="","",MIN(INT(ROUND(P88/O88,6)),INT(ROUND(Settings!$B$5/K88,6))))</f>
        <v/>
      </c>
      <c r="R88" s="8">
        <f>IF(O88="","",Q88*O88)</f>
        <v/>
      </c>
      <c r="S88" s="8">
        <f>IF(O88="","",IF($E88="LONG",K88+Settings!$B$6*O88,K88-Settings!$B$6*O88))</f>
        <v/>
      </c>
      <c r="T88" s="7" t="n"/>
      <c r="V88" s="8">
        <f>IF(OR($E88="",T88=""),"",IF($E88="LONG",(T88-L88)*Q88,(L88-T88)*Q88))</f>
        <v/>
      </c>
      <c r="W88" s="10">
        <f>IF(V88="","",V88/N88)</f>
        <v/>
      </c>
      <c r="X88" s="11">
        <f>IF(V88="","",V88/R88)</f>
        <v/>
      </c>
      <c r="Y88" s="8">
        <f>IF(OR($E88="",L88=""),"",IF($E88="LONG",L88-K88,K88-L88))</f>
        <v/>
      </c>
      <c r="AP88" s="7" t="n"/>
    </row>
    <row r="89">
      <c r="H89" s="7" t="n"/>
      <c r="I89" s="7" t="n"/>
      <c r="J89" s="8">
        <f>IF($E89="","",MAX(Settings!$B$7,ROUND(Settings!$B$8*IF($E89="LONG",H89,I89),2)))</f>
        <v/>
      </c>
      <c r="K89" s="8">
        <f>IF($E89="","",IF($E89="LONG",H89+J89,I89-J89))</f>
        <v/>
      </c>
      <c r="L89" s="7" t="n"/>
      <c r="M89" s="8">
        <f>IF($E89="","",IF($E89="LONG",K89-O89,K89+O89))</f>
        <v/>
      </c>
      <c r="N89" s="7" t="n"/>
      <c r="O89" s="8">
        <f>IF(OR($E89="",AP89=""),"",ROUNDUP(ROUND(MAX(IF($E89="LONG",K89-I89,H89-K89),Settings!$B$9*AP89),6),2))</f>
        <v/>
      </c>
      <c r="P89" s="8">
        <f>IF($E89="","",N89*Settings!$B$4)</f>
        <v/>
      </c>
      <c r="Q89" s="9">
        <f>IF(O89="","",MIN(INT(ROUND(P89/O89,6)),INT(ROUND(Settings!$B$5/K89,6))))</f>
        <v/>
      </c>
      <c r="R89" s="8">
        <f>IF(O89="","",Q89*O89)</f>
        <v/>
      </c>
      <c r="S89" s="8">
        <f>IF(O89="","",IF($E89="LONG",K89+Settings!$B$6*O89,K89-Settings!$B$6*O89))</f>
        <v/>
      </c>
      <c r="T89" s="7" t="n"/>
      <c r="V89" s="8">
        <f>IF(OR($E89="",T89=""),"",IF($E89="LONG",(T89-L89)*Q89,(L89-T89)*Q89))</f>
        <v/>
      </c>
      <c r="W89" s="10">
        <f>IF(V89="","",V89/N89)</f>
        <v/>
      </c>
      <c r="X89" s="11">
        <f>IF(V89="","",V89/R89)</f>
        <v/>
      </c>
      <c r="Y89" s="8">
        <f>IF(OR($E89="",L89=""),"",IF($E89="LONG",L89-K89,K89-L89))</f>
        <v/>
      </c>
      <c r="AP89" s="7" t="n"/>
    </row>
    <row r="90">
      <c r="H90" s="7" t="n"/>
      <c r="I90" s="7" t="n"/>
      <c r="J90" s="8">
        <f>IF($E90="","",MAX(Settings!$B$7,ROUND(Settings!$B$8*IF($E90="LONG",H90,I90),2)))</f>
        <v/>
      </c>
      <c r="K90" s="8">
        <f>IF($E90="","",IF($E90="LONG",H90+J90,I90-J90))</f>
        <v/>
      </c>
      <c r="L90" s="7" t="n"/>
      <c r="M90" s="8">
        <f>IF($E90="","",IF($E90="LONG",K90-O90,K90+O90))</f>
        <v/>
      </c>
      <c r="N90" s="7" t="n"/>
      <c r="O90" s="8">
        <f>IF(OR($E90="",AP90=""),"",ROUNDUP(ROUND(MAX(IF($E90="LONG",K90-I90,H90-K90),Settings!$B$9*AP90),6),2))</f>
        <v/>
      </c>
      <c r="P90" s="8">
        <f>IF($E90="","",N90*Settings!$B$4)</f>
        <v/>
      </c>
      <c r="Q90" s="9">
        <f>IF(O90="","",MIN(INT(ROUND(P90/O90,6)),INT(ROUND(Settings!$B$5/K90,6))))</f>
        <v/>
      </c>
      <c r="R90" s="8">
        <f>IF(O90="","",Q90*O90)</f>
        <v/>
      </c>
      <c r="S90" s="8">
        <f>IF(O90="","",IF($E90="LONG",K90+Settings!$B$6*O90,K90-Settings!$B$6*O90))</f>
        <v/>
      </c>
      <c r="T90" s="7" t="n"/>
      <c r="V90" s="8">
        <f>IF(OR($E90="",T90=""),"",IF($E90="LONG",(T90-L90)*Q90,(L90-T90)*Q90))</f>
        <v/>
      </c>
      <c r="W90" s="10">
        <f>IF(V90="","",V90/N90)</f>
        <v/>
      </c>
      <c r="X90" s="11">
        <f>IF(V90="","",V90/R90)</f>
        <v/>
      </c>
      <c r="Y90" s="8">
        <f>IF(OR($E90="",L90=""),"",IF($E90="LONG",L90-K90,K90-L90))</f>
        <v/>
      </c>
      <c r="AP90" s="7" t="n"/>
    </row>
    <row r="91">
      <c r="H91" s="7" t="n"/>
      <c r="I91" s="7" t="n"/>
      <c r="J91" s="8">
        <f>IF($E91="","",MAX(Settings!$B$7,ROUND(Settings!$B$8*IF($E91="LONG",H91,I91),2)))</f>
        <v/>
      </c>
      <c r="K91" s="8">
        <f>IF($E91="","",IF($E91="LONG",H91+J91,I91-J91))</f>
        <v/>
      </c>
      <c r="L91" s="7" t="n"/>
      <c r="M91" s="8">
        <f>IF($E91="","",IF($E91="LONG",K91-O91,K91+O91))</f>
        <v/>
      </c>
      <c r="N91" s="7" t="n"/>
      <c r="O91" s="8">
        <f>IF(OR($E91="",AP91=""),"",ROUNDUP(ROUND(MAX(IF($E91="LONG",K91-I91,H91-K91),Settings!$B$9*AP91),6),2))</f>
        <v/>
      </c>
      <c r="P91" s="8">
        <f>IF($E91="","",N91*Settings!$B$4)</f>
        <v/>
      </c>
      <c r="Q91" s="9">
        <f>IF(O91="","",MIN(INT(ROUND(P91/O91,6)),INT(ROUND(Settings!$B$5/K91,6))))</f>
        <v/>
      </c>
      <c r="R91" s="8">
        <f>IF(O91="","",Q91*O91)</f>
        <v/>
      </c>
      <c r="S91" s="8">
        <f>IF(O91="","",IF($E91="LONG",K91+Settings!$B$6*O91,K91-Settings!$B$6*O91))</f>
        <v/>
      </c>
      <c r="T91" s="7" t="n"/>
      <c r="V91" s="8">
        <f>IF(OR($E91="",T91=""),"",IF($E91="LONG",(T91-L91)*Q91,(L91-T91)*Q91))</f>
        <v/>
      </c>
      <c r="W91" s="10">
        <f>IF(V91="","",V91/N91)</f>
        <v/>
      </c>
      <c r="X91" s="11">
        <f>IF(V91="","",V91/R91)</f>
        <v/>
      </c>
      <c r="Y91" s="8">
        <f>IF(OR($E91="",L91=""),"",IF($E91="LONG",L91-K91,K91-L91))</f>
        <v/>
      </c>
      <c r="AP91" s="7" t="n"/>
    </row>
    <row r="92">
      <c r="H92" s="7" t="n"/>
      <c r="I92" s="7" t="n"/>
      <c r="J92" s="8">
        <f>IF($E92="","",MAX(Settings!$B$7,ROUND(Settings!$B$8*IF($E92="LONG",H92,I92),2)))</f>
        <v/>
      </c>
      <c r="K92" s="8">
        <f>IF($E92="","",IF($E92="LONG",H92+J92,I92-J92))</f>
        <v/>
      </c>
      <c r="L92" s="7" t="n"/>
      <c r="M92" s="8">
        <f>IF($E92="","",IF($E92="LONG",K92-O92,K92+O92))</f>
        <v/>
      </c>
      <c r="N92" s="7" t="n"/>
      <c r="O92" s="8">
        <f>IF(OR($E92="",AP92=""),"",ROUNDUP(ROUND(MAX(IF($E92="LONG",K92-I92,H92-K92),Settings!$B$9*AP92),6),2))</f>
        <v/>
      </c>
      <c r="P92" s="8">
        <f>IF($E92="","",N92*Settings!$B$4)</f>
        <v/>
      </c>
      <c r="Q92" s="9">
        <f>IF(O92="","",MIN(INT(ROUND(P92/O92,6)),INT(ROUND(Settings!$B$5/K92,6))))</f>
        <v/>
      </c>
      <c r="R92" s="8">
        <f>IF(O92="","",Q92*O92)</f>
        <v/>
      </c>
      <c r="S92" s="8">
        <f>IF(O92="","",IF($E92="LONG",K92+Settings!$B$6*O92,K92-Settings!$B$6*O92))</f>
        <v/>
      </c>
      <c r="T92" s="7" t="n"/>
      <c r="V92" s="8">
        <f>IF(OR($E92="",T92=""),"",IF($E92="LONG",(T92-L92)*Q92,(L92-T92)*Q92))</f>
        <v/>
      </c>
      <c r="W92" s="10">
        <f>IF(V92="","",V92/N92)</f>
        <v/>
      </c>
      <c r="X92" s="11">
        <f>IF(V92="","",V92/R92)</f>
        <v/>
      </c>
      <c r="Y92" s="8">
        <f>IF(OR($E92="",L92=""),"",IF($E92="LONG",L92-K92,K92-L92))</f>
        <v/>
      </c>
      <c r="AP92" s="7" t="n"/>
    </row>
    <row r="93">
      <c r="H93" s="7" t="n"/>
      <c r="I93" s="7" t="n"/>
      <c r="J93" s="8">
        <f>IF($E93="","",MAX(Settings!$B$7,ROUND(Settings!$B$8*IF($E93="LONG",H93,I93),2)))</f>
        <v/>
      </c>
      <c r="K93" s="8">
        <f>IF($E93="","",IF($E93="LONG",H93+J93,I93-J93))</f>
        <v/>
      </c>
      <c r="L93" s="7" t="n"/>
      <c r="M93" s="8">
        <f>IF($E93="","",IF($E93="LONG",K93-O93,K93+O93))</f>
        <v/>
      </c>
      <c r="N93" s="7" t="n"/>
      <c r="O93" s="8">
        <f>IF(OR($E93="",AP93=""),"",ROUNDUP(ROUND(MAX(IF($E93="LONG",K93-I93,H93-K93),Settings!$B$9*AP93),6),2))</f>
        <v/>
      </c>
      <c r="P93" s="8">
        <f>IF($E93="","",N93*Settings!$B$4)</f>
        <v/>
      </c>
      <c r="Q93" s="9">
        <f>IF(O93="","",MIN(INT(ROUND(P93/O93,6)),INT(ROUND(Settings!$B$5/K93,6))))</f>
        <v/>
      </c>
      <c r="R93" s="8">
        <f>IF(O93="","",Q93*O93)</f>
        <v/>
      </c>
      <c r="S93" s="8">
        <f>IF(O93="","",IF($E93="LONG",K93+Settings!$B$6*O93,K93-Settings!$B$6*O93))</f>
        <v/>
      </c>
      <c r="T93" s="7" t="n"/>
      <c r="V93" s="8">
        <f>IF(OR($E93="",T93=""),"",IF($E93="LONG",(T93-L93)*Q93,(L93-T93)*Q93))</f>
        <v/>
      </c>
      <c r="W93" s="10">
        <f>IF(V93="","",V93/N93)</f>
        <v/>
      </c>
      <c r="X93" s="11">
        <f>IF(V93="","",V93/R93)</f>
        <v/>
      </c>
      <c r="Y93" s="8">
        <f>IF(OR($E93="",L93=""),"",IF($E93="LONG",L93-K93,K93-L93))</f>
        <v/>
      </c>
      <c r="AP93" s="7" t="n"/>
    </row>
    <row r="94">
      <c r="H94" s="7" t="n"/>
      <c r="I94" s="7" t="n"/>
      <c r="J94" s="8">
        <f>IF($E94="","",MAX(Settings!$B$7,ROUND(Settings!$B$8*IF($E94="LONG",H94,I94),2)))</f>
        <v/>
      </c>
      <c r="K94" s="8">
        <f>IF($E94="","",IF($E94="LONG",H94+J94,I94-J94))</f>
        <v/>
      </c>
      <c r="L94" s="7" t="n"/>
      <c r="M94" s="8">
        <f>IF($E94="","",IF($E94="LONG",K94-O94,K94+O94))</f>
        <v/>
      </c>
      <c r="N94" s="7" t="n"/>
      <c r="O94" s="8">
        <f>IF(OR($E94="",AP94=""),"",ROUNDUP(ROUND(MAX(IF($E94="LONG",K94-I94,H94-K94),Settings!$B$9*AP94),6),2))</f>
        <v/>
      </c>
      <c r="P94" s="8">
        <f>IF($E94="","",N94*Settings!$B$4)</f>
        <v/>
      </c>
      <c r="Q94" s="9">
        <f>IF(O94="","",MIN(INT(ROUND(P94/O94,6)),INT(ROUND(Settings!$B$5/K94,6))))</f>
        <v/>
      </c>
      <c r="R94" s="8">
        <f>IF(O94="","",Q94*O94)</f>
        <v/>
      </c>
      <c r="S94" s="8">
        <f>IF(O94="","",IF($E94="LONG",K94+Settings!$B$6*O94,K94-Settings!$B$6*O94))</f>
        <v/>
      </c>
      <c r="T94" s="7" t="n"/>
      <c r="V94" s="8">
        <f>IF(OR($E94="",T94=""),"",IF($E94="LONG",(T94-L94)*Q94,(L94-T94)*Q94))</f>
        <v/>
      </c>
      <c r="W94" s="10">
        <f>IF(V94="","",V94/N94)</f>
        <v/>
      </c>
      <c r="X94" s="11">
        <f>IF(V94="","",V94/R94)</f>
        <v/>
      </c>
      <c r="Y94" s="8">
        <f>IF(OR($E94="",L94=""),"",IF($E94="LONG",L94-K94,K94-L94))</f>
        <v/>
      </c>
      <c r="AP94" s="7" t="n"/>
    </row>
    <row r="95">
      <c r="H95" s="7" t="n"/>
      <c r="I95" s="7" t="n"/>
      <c r="J95" s="8">
        <f>IF($E95="","",MAX(Settings!$B$7,ROUND(Settings!$B$8*IF($E95="LONG",H95,I95),2)))</f>
        <v/>
      </c>
      <c r="K95" s="8">
        <f>IF($E95="","",IF($E95="LONG",H95+J95,I95-J95))</f>
        <v/>
      </c>
      <c r="L95" s="7" t="n"/>
      <c r="M95" s="8">
        <f>IF($E95="","",IF($E95="LONG",K95-O95,K95+O95))</f>
        <v/>
      </c>
      <c r="N95" s="7" t="n"/>
      <c r="O95" s="8">
        <f>IF(OR($E95="",AP95=""),"",ROUNDUP(ROUND(MAX(IF($E95="LONG",K95-I95,H95-K95),Settings!$B$9*AP95),6),2))</f>
        <v/>
      </c>
      <c r="P95" s="8">
        <f>IF($E95="","",N95*Settings!$B$4)</f>
        <v/>
      </c>
      <c r="Q95" s="9">
        <f>IF(O95="","",MIN(INT(ROUND(P95/O95,6)),INT(ROUND(Settings!$B$5/K95,6))))</f>
        <v/>
      </c>
      <c r="R95" s="8">
        <f>IF(O95="","",Q95*O95)</f>
        <v/>
      </c>
      <c r="S95" s="8">
        <f>IF(O95="","",IF($E95="LONG",K95+Settings!$B$6*O95,K95-Settings!$B$6*O95))</f>
        <v/>
      </c>
      <c r="T95" s="7" t="n"/>
      <c r="V95" s="8">
        <f>IF(OR($E95="",T95=""),"",IF($E95="LONG",(T95-L95)*Q95,(L95-T95)*Q95))</f>
        <v/>
      </c>
      <c r="W95" s="10">
        <f>IF(V95="","",V95/N95)</f>
        <v/>
      </c>
      <c r="X95" s="11">
        <f>IF(V95="","",V95/R95)</f>
        <v/>
      </c>
      <c r="Y95" s="8">
        <f>IF(OR($E95="",L95=""),"",IF($E95="LONG",L95-K95,K95-L95))</f>
        <v/>
      </c>
      <c r="AP95" s="7" t="n"/>
    </row>
    <row r="96">
      <c r="H96" s="7" t="n"/>
      <c r="I96" s="7" t="n"/>
      <c r="J96" s="8">
        <f>IF($E96="","",MAX(Settings!$B$7,ROUND(Settings!$B$8*IF($E96="LONG",H96,I96),2)))</f>
        <v/>
      </c>
      <c r="K96" s="8">
        <f>IF($E96="","",IF($E96="LONG",H96+J96,I96-J96))</f>
        <v/>
      </c>
      <c r="L96" s="7" t="n"/>
      <c r="M96" s="8">
        <f>IF($E96="","",IF($E96="LONG",K96-O96,K96+O96))</f>
        <v/>
      </c>
      <c r="N96" s="7" t="n"/>
      <c r="O96" s="8">
        <f>IF(OR($E96="",AP96=""),"",ROUNDUP(ROUND(MAX(IF($E96="LONG",K96-I96,H96-K96),Settings!$B$9*AP96),6),2))</f>
        <v/>
      </c>
      <c r="P96" s="8">
        <f>IF($E96="","",N96*Settings!$B$4)</f>
        <v/>
      </c>
      <c r="Q96" s="9">
        <f>IF(O96="","",MIN(INT(ROUND(P96/O96,6)),INT(ROUND(Settings!$B$5/K96,6))))</f>
        <v/>
      </c>
      <c r="R96" s="8">
        <f>IF(O96="","",Q96*O96)</f>
        <v/>
      </c>
      <c r="S96" s="8">
        <f>IF(O96="","",IF($E96="LONG",K96+Settings!$B$6*O96,K96-Settings!$B$6*O96))</f>
        <v/>
      </c>
      <c r="T96" s="7" t="n"/>
      <c r="V96" s="8">
        <f>IF(OR($E96="",T96=""),"",IF($E96="LONG",(T96-L96)*Q96,(L96-T96)*Q96))</f>
        <v/>
      </c>
      <c r="W96" s="10">
        <f>IF(V96="","",V96/N96)</f>
        <v/>
      </c>
      <c r="X96" s="11">
        <f>IF(V96="","",V96/R96)</f>
        <v/>
      </c>
      <c r="Y96" s="8">
        <f>IF(OR($E96="",L96=""),"",IF($E96="LONG",L96-K96,K96-L96))</f>
        <v/>
      </c>
      <c r="AP96" s="7" t="n"/>
    </row>
    <row r="97">
      <c r="H97" s="7" t="n"/>
      <c r="I97" s="7" t="n"/>
      <c r="J97" s="8">
        <f>IF($E97="","",MAX(Settings!$B$7,ROUND(Settings!$B$8*IF($E97="LONG",H97,I97),2)))</f>
        <v/>
      </c>
      <c r="K97" s="8">
        <f>IF($E97="","",IF($E97="LONG",H97+J97,I97-J97))</f>
        <v/>
      </c>
      <c r="L97" s="7" t="n"/>
      <c r="M97" s="8">
        <f>IF($E97="","",IF($E97="LONG",K97-O97,K97+O97))</f>
        <v/>
      </c>
      <c r="N97" s="7" t="n"/>
      <c r="O97" s="8">
        <f>IF(OR($E97="",AP97=""),"",ROUNDUP(ROUND(MAX(IF($E97="LONG",K97-I97,H97-K97),Settings!$B$9*AP97),6),2))</f>
        <v/>
      </c>
      <c r="P97" s="8">
        <f>IF($E97="","",N97*Settings!$B$4)</f>
        <v/>
      </c>
      <c r="Q97" s="9">
        <f>IF(O97="","",MIN(INT(ROUND(P97/O97,6)),INT(ROUND(Settings!$B$5/K97,6))))</f>
        <v/>
      </c>
      <c r="R97" s="8">
        <f>IF(O97="","",Q97*O97)</f>
        <v/>
      </c>
      <c r="S97" s="8">
        <f>IF(O97="","",IF($E97="LONG",K97+Settings!$B$6*O97,K97-Settings!$B$6*O97))</f>
        <v/>
      </c>
      <c r="T97" s="7" t="n"/>
      <c r="V97" s="8">
        <f>IF(OR($E97="",T97=""),"",IF($E97="LONG",(T97-L97)*Q97,(L97-T97)*Q97))</f>
        <v/>
      </c>
      <c r="W97" s="10">
        <f>IF(V97="","",V97/N97)</f>
        <v/>
      </c>
      <c r="X97" s="11">
        <f>IF(V97="","",V97/R97)</f>
        <v/>
      </c>
      <c r="Y97" s="8">
        <f>IF(OR($E97="",L97=""),"",IF($E97="LONG",L97-K97,K97-L97))</f>
        <v/>
      </c>
      <c r="AP97" s="7" t="n"/>
    </row>
    <row r="98">
      <c r="H98" s="7" t="n"/>
      <c r="I98" s="7" t="n"/>
      <c r="J98" s="8">
        <f>IF($E98="","",MAX(Settings!$B$7,ROUND(Settings!$B$8*IF($E98="LONG",H98,I98),2)))</f>
        <v/>
      </c>
      <c r="K98" s="8">
        <f>IF($E98="","",IF($E98="LONG",H98+J98,I98-J98))</f>
        <v/>
      </c>
      <c r="L98" s="7" t="n"/>
      <c r="M98" s="8">
        <f>IF($E98="","",IF($E98="LONG",K98-O98,K98+O98))</f>
        <v/>
      </c>
      <c r="N98" s="7" t="n"/>
      <c r="O98" s="8">
        <f>IF(OR($E98="",AP98=""),"",ROUNDUP(ROUND(MAX(IF($E98="LONG",K98-I98,H98-K98),Settings!$B$9*AP98),6),2))</f>
        <v/>
      </c>
      <c r="P98" s="8">
        <f>IF($E98="","",N98*Settings!$B$4)</f>
        <v/>
      </c>
      <c r="Q98" s="9">
        <f>IF(O98="","",MIN(INT(ROUND(P98/O98,6)),INT(ROUND(Settings!$B$5/K98,6))))</f>
        <v/>
      </c>
      <c r="R98" s="8">
        <f>IF(O98="","",Q98*O98)</f>
        <v/>
      </c>
      <c r="S98" s="8">
        <f>IF(O98="","",IF($E98="LONG",K98+Settings!$B$6*O98,K98-Settings!$B$6*O98))</f>
        <v/>
      </c>
      <c r="T98" s="7" t="n"/>
      <c r="V98" s="8">
        <f>IF(OR($E98="",T98=""),"",IF($E98="LONG",(T98-L98)*Q98,(L98-T98)*Q98))</f>
        <v/>
      </c>
      <c r="W98" s="10">
        <f>IF(V98="","",V98/N98)</f>
        <v/>
      </c>
      <c r="X98" s="11">
        <f>IF(V98="","",V98/R98)</f>
        <v/>
      </c>
      <c r="Y98" s="8">
        <f>IF(OR($E98="",L98=""),"",IF($E98="LONG",L98-K98,K98-L98))</f>
        <v/>
      </c>
      <c r="AP98" s="7" t="n"/>
    </row>
    <row r="99">
      <c r="H99" s="7" t="n"/>
      <c r="I99" s="7" t="n"/>
      <c r="J99" s="8">
        <f>IF($E99="","",MAX(Settings!$B$7,ROUND(Settings!$B$8*IF($E99="LONG",H99,I99),2)))</f>
        <v/>
      </c>
      <c r="K99" s="8">
        <f>IF($E99="","",IF($E99="LONG",H99+J99,I99-J99))</f>
        <v/>
      </c>
      <c r="L99" s="7" t="n"/>
      <c r="M99" s="8">
        <f>IF($E99="","",IF($E99="LONG",K99-O99,K99+O99))</f>
        <v/>
      </c>
      <c r="N99" s="7" t="n"/>
      <c r="O99" s="8">
        <f>IF(OR($E99="",AP99=""),"",ROUNDUP(ROUND(MAX(IF($E99="LONG",K99-I99,H99-K99),Settings!$B$9*AP99),6),2))</f>
        <v/>
      </c>
      <c r="P99" s="8">
        <f>IF($E99="","",N99*Settings!$B$4)</f>
        <v/>
      </c>
      <c r="Q99" s="9">
        <f>IF(O99="","",MIN(INT(ROUND(P99/O99,6)),INT(ROUND(Settings!$B$5/K99,6))))</f>
        <v/>
      </c>
      <c r="R99" s="8">
        <f>IF(O99="","",Q99*O99)</f>
        <v/>
      </c>
      <c r="S99" s="8">
        <f>IF(O99="","",IF($E99="LONG",K99+Settings!$B$6*O99,K99-Settings!$B$6*O99))</f>
        <v/>
      </c>
      <c r="T99" s="7" t="n"/>
      <c r="V99" s="8">
        <f>IF(OR($E99="",T99=""),"",IF($E99="LONG",(T99-L99)*Q99,(L99-T99)*Q99))</f>
        <v/>
      </c>
      <c r="W99" s="10">
        <f>IF(V99="","",V99/N99)</f>
        <v/>
      </c>
      <c r="X99" s="11">
        <f>IF(V99="","",V99/R99)</f>
        <v/>
      </c>
      <c r="Y99" s="8">
        <f>IF(OR($E99="",L99=""),"",IF($E99="LONG",L99-K99,K99-L99))</f>
        <v/>
      </c>
      <c r="AP99" s="7" t="n"/>
    </row>
    <row r="100">
      <c r="H100" s="7" t="n"/>
      <c r="I100" s="7" t="n"/>
      <c r="J100" s="8">
        <f>IF($E100="","",MAX(Settings!$B$7,ROUND(Settings!$B$8*IF($E100="LONG",H100,I100),2)))</f>
        <v/>
      </c>
      <c r="K100" s="8">
        <f>IF($E100="","",IF($E100="LONG",H100+J100,I100-J100))</f>
        <v/>
      </c>
      <c r="L100" s="7" t="n"/>
      <c r="M100" s="8">
        <f>IF($E100="","",IF($E100="LONG",K100-O100,K100+O100))</f>
        <v/>
      </c>
      <c r="N100" s="7" t="n"/>
      <c r="O100" s="8">
        <f>IF(OR($E100="",AP100=""),"",ROUNDUP(ROUND(MAX(IF($E100="LONG",K100-I100,H100-K100),Settings!$B$9*AP100),6),2))</f>
        <v/>
      </c>
      <c r="P100" s="8">
        <f>IF($E100="","",N100*Settings!$B$4)</f>
        <v/>
      </c>
      <c r="Q100" s="9">
        <f>IF(O100="","",MIN(INT(ROUND(P100/O100,6)),INT(ROUND(Settings!$B$5/K100,6))))</f>
        <v/>
      </c>
      <c r="R100" s="8">
        <f>IF(O100="","",Q100*O100)</f>
        <v/>
      </c>
      <c r="S100" s="8">
        <f>IF(O100="","",IF($E100="LONG",K100+Settings!$B$6*O100,K100-Settings!$B$6*O100))</f>
        <v/>
      </c>
      <c r="T100" s="7" t="n"/>
      <c r="V100" s="8">
        <f>IF(OR($E100="",T100=""),"",IF($E100="LONG",(T100-L100)*Q100,(L100-T100)*Q100))</f>
        <v/>
      </c>
      <c r="W100" s="10">
        <f>IF(V100="","",V100/N100)</f>
        <v/>
      </c>
      <c r="X100" s="11">
        <f>IF(V100="","",V100/R100)</f>
        <v/>
      </c>
      <c r="Y100" s="8">
        <f>IF(OR($E100="",L100=""),"",IF($E100="LONG",L100-K100,K100-L100))</f>
        <v/>
      </c>
      <c r="AP100" s="7" t="n"/>
    </row>
    <row r="101">
      <c r="H101" s="7" t="n"/>
      <c r="I101" s="7" t="n"/>
      <c r="J101" s="8">
        <f>IF($E101="","",MAX(Settings!$B$7,ROUND(Settings!$B$8*IF($E101="LONG",H101,I101),2)))</f>
        <v/>
      </c>
      <c r="K101" s="8">
        <f>IF($E101="","",IF($E101="LONG",H101+J101,I101-J101))</f>
        <v/>
      </c>
      <c r="L101" s="7" t="n"/>
      <c r="M101" s="8">
        <f>IF($E101="","",IF($E101="LONG",K101-O101,K101+O101))</f>
        <v/>
      </c>
      <c r="N101" s="7" t="n"/>
      <c r="O101" s="8">
        <f>IF(OR($E101="",AP101=""),"",ROUNDUP(ROUND(MAX(IF($E101="LONG",K101-I101,H101-K101),Settings!$B$9*AP101),6),2))</f>
        <v/>
      </c>
      <c r="P101" s="8">
        <f>IF($E101="","",N101*Settings!$B$4)</f>
        <v/>
      </c>
      <c r="Q101" s="9">
        <f>IF(O101="","",MIN(INT(ROUND(P101/O101,6)),INT(ROUND(Settings!$B$5/K101,6))))</f>
        <v/>
      </c>
      <c r="R101" s="8">
        <f>IF(O101="","",Q101*O101)</f>
        <v/>
      </c>
      <c r="S101" s="8">
        <f>IF(O101="","",IF($E101="LONG",K101+Settings!$B$6*O101,K101-Settings!$B$6*O101))</f>
        <v/>
      </c>
      <c r="T101" s="7" t="n"/>
      <c r="V101" s="8">
        <f>IF(OR($E101="",T101=""),"",IF($E101="LONG",(T101-L101)*Q101,(L101-T101)*Q101))</f>
        <v/>
      </c>
      <c r="W101" s="10">
        <f>IF(V101="","",V101/N101)</f>
        <v/>
      </c>
      <c r="X101" s="11">
        <f>IF(V101="","",V101/R101)</f>
        <v/>
      </c>
      <c r="Y101" s="8">
        <f>IF(OR($E101="",L101=""),"",IF($E101="LONG",L101-K101,K101-L101))</f>
        <v/>
      </c>
      <c r="AP101" s="7" t="n"/>
    </row>
    <row r="102">
      <c r="H102" s="7" t="n"/>
      <c r="I102" s="7" t="n"/>
      <c r="J102" s="8">
        <f>IF($E102="","",MAX(Settings!$B$7,ROUND(Settings!$B$8*IF($E102="LONG",H102,I102),2)))</f>
        <v/>
      </c>
      <c r="K102" s="8">
        <f>IF($E102="","",IF($E102="LONG",H102+J102,I102-J102))</f>
        <v/>
      </c>
      <c r="L102" s="7" t="n"/>
      <c r="M102" s="8">
        <f>IF($E102="","",IF($E102="LONG",K102-O102,K102+O102))</f>
        <v/>
      </c>
      <c r="N102" s="7" t="n"/>
      <c r="O102" s="8">
        <f>IF(OR($E102="",AP102=""),"",ROUNDUP(ROUND(MAX(IF($E102="LONG",K102-I102,H102-K102),Settings!$B$9*AP102),6),2))</f>
        <v/>
      </c>
      <c r="P102" s="8">
        <f>IF($E102="","",N102*Settings!$B$4)</f>
        <v/>
      </c>
      <c r="Q102" s="9">
        <f>IF(O102="","",MIN(INT(ROUND(P102/O102,6)),INT(ROUND(Settings!$B$5/K102,6))))</f>
        <v/>
      </c>
      <c r="R102" s="8">
        <f>IF(O102="","",Q102*O102)</f>
        <v/>
      </c>
      <c r="S102" s="8">
        <f>IF(O102="","",IF($E102="LONG",K102+Settings!$B$6*O102,K102-Settings!$B$6*O102))</f>
        <v/>
      </c>
      <c r="T102" s="7" t="n"/>
      <c r="V102" s="8">
        <f>IF(OR($E102="",T102=""),"",IF($E102="LONG",(T102-L102)*Q102,(L102-T102)*Q102))</f>
        <v/>
      </c>
      <c r="W102" s="10">
        <f>IF(V102="","",V102/N102)</f>
        <v/>
      </c>
      <c r="X102" s="11">
        <f>IF(V102="","",V102/R102)</f>
        <v/>
      </c>
      <c r="Y102" s="8">
        <f>IF(OR($E102="",L102=""),"",IF($E102="LONG",L102-K102,K102-L102))</f>
        <v/>
      </c>
      <c r="AP102" s="7" t="n"/>
    </row>
    <row r="103">
      <c r="H103" s="7" t="n"/>
      <c r="I103" s="7" t="n"/>
      <c r="J103" s="8">
        <f>IF($E103="","",MAX(Settings!$B$7,ROUND(Settings!$B$8*IF($E103="LONG",H103,I103),2)))</f>
        <v/>
      </c>
      <c r="K103" s="8">
        <f>IF($E103="","",IF($E103="LONG",H103+J103,I103-J103))</f>
        <v/>
      </c>
      <c r="L103" s="7" t="n"/>
      <c r="M103" s="8">
        <f>IF($E103="","",IF($E103="LONG",K103-O103,K103+O103))</f>
        <v/>
      </c>
      <c r="N103" s="7" t="n"/>
      <c r="O103" s="8">
        <f>IF(OR($E103="",AP103=""),"",ROUNDUP(ROUND(MAX(IF($E103="LONG",K103-I103,H103-K103),Settings!$B$9*AP103),6),2))</f>
        <v/>
      </c>
      <c r="P103" s="8">
        <f>IF($E103="","",N103*Settings!$B$4)</f>
        <v/>
      </c>
      <c r="Q103" s="9">
        <f>IF(O103="","",MIN(INT(ROUND(P103/O103,6)),INT(ROUND(Settings!$B$5/K103,6))))</f>
        <v/>
      </c>
      <c r="R103" s="8">
        <f>IF(O103="","",Q103*O103)</f>
        <v/>
      </c>
      <c r="S103" s="8">
        <f>IF(O103="","",IF($E103="LONG",K103+Settings!$B$6*O103,K103-Settings!$B$6*O103))</f>
        <v/>
      </c>
      <c r="T103" s="7" t="n"/>
      <c r="V103" s="8">
        <f>IF(OR($E103="",T103=""),"",IF($E103="LONG",(T103-L103)*Q103,(L103-T103)*Q103))</f>
        <v/>
      </c>
      <c r="W103" s="10">
        <f>IF(V103="","",V103/N103)</f>
        <v/>
      </c>
      <c r="X103" s="11">
        <f>IF(V103="","",V103/R103)</f>
        <v/>
      </c>
      <c r="Y103" s="8">
        <f>IF(OR($E103="",L103=""),"",IF($E103="LONG",L103-K103,K103-L103))</f>
        <v/>
      </c>
      <c r="AP103" s="7" t="n"/>
    </row>
    <row r="104">
      <c r="H104" s="7" t="n"/>
      <c r="I104" s="7" t="n"/>
      <c r="J104" s="8">
        <f>IF($E104="","",MAX(Settings!$B$7,ROUND(Settings!$B$8*IF($E104="LONG",H104,I104),2)))</f>
        <v/>
      </c>
      <c r="K104" s="8">
        <f>IF($E104="","",IF($E104="LONG",H104+J104,I104-J104))</f>
        <v/>
      </c>
      <c r="L104" s="7" t="n"/>
      <c r="M104" s="8">
        <f>IF($E104="","",IF($E104="LONG",K104-O104,K104+O104))</f>
        <v/>
      </c>
      <c r="N104" s="7" t="n"/>
      <c r="O104" s="8">
        <f>IF(OR($E104="",AP104=""),"",ROUNDUP(ROUND(MAX(IF($E104="LONG",K104-I104,H104-K104),Settings!$B$9*AP104),6),2))</f>
        <v/>
      </c>
      <c r="P104" s="8">
        <f>IF($E104="","",N104*Settings!$B$4)</f>
        <v/>
      </c>
      <c r="Q104" s="9">
        <f>IF(O104="","",MIN(INT(ROUND(P104/O104,6)),INT(ROUND(Settings!$B$5/K104,6))))</f>
        <v/>
      </c>
      <c r="R104" s="8">
        <f>IF(O104="","",Q104*O104)</f>
        <v/>
      </c>
      <c r="S104" s="8">
        <f>IF(O104="","",IF($E104="LONG",K104+Settings!$B$6*O104,K104-Settings!$B$6*O104))</f>
        <v/>
      </c>
      <c r="T104" s="7" t="n"/>
      <c r="V104" s="8">
        <f>IF(OR($E104="",T104=""),"",IF($E104="LONG",(T104-L104)*Q104,(L104-T104)*Q104))</f>
        <v/>
      </c>
      <c r="W104" s="10">
        <f>IF(V104="","",V104/N104)</f>
        <v/>
      </c>
      <c r="X104" s="11">
        <f>IF(V104="","",V104/R104)</f>
        <v/>
      </c>
      <c r="Y104" s="8">
        <f>IF(OR($E104="",L104=""),"",IF($E104="LONG",L104-K104,K104-L104))</f>
        <v/>
      </c>
      <c r="AP104" s="7" t="n"/>
    </row>
    <row r="105">
      <c r="H105" s="7" t="n"/>
      <c r="I105" s="7" t="n"/>
      <c r="J105" s="8">
        <f>IF($E105="","",MAX(Settings!$B$7,ROUND(Settings!$B$8*IF($E105="LONG",H105,I105),2)))</f>
        <v/>
      </c>
      <c r="K105" s="8">
        <f>IF($E105="","",IF($E105="LONG",H105+J105,I105-J105))</f>
        <v/>
      </c>
      <c r="L105" s="7" t="n"/>
      <c r="M105" s="8">
        <f>IF($E105="","",IF($E105="LONG",K105-O105,K105+O105))</f>
        <v/>
      </c>
      <c r="N105" s="7" t="n"/>
      <c r="O105" s="8">
        <f>IF(OR($E105="",AP105=""),"",ROUNDUP(ROUND(MAX(IF($E105="LONG",K105-I105,H105-K105),Settings!$B$9*AP105),6),2))</f>
        <v/>
      </c>
      <c r="P105" s="8">
        <f>IF($E105="","",N105*Settings!$B$4)</f>
        <v/>
      </c>
      <c r="Q105" s="9">
        <f>IF(O105="","",MIN(INT(ROUND(P105/O105,6)),INT(ROUND(Settings!$B$5/K105,6))))</f>
        <v/>
      </c>
      <c r="R105" s="8">
        <f>IF(O105="","",Q105*O105)</f>
        <v/>
      </c>
      <c r="S105" s="8">
        <f>IF(O105="","",IF($E105="LONG",K105+Settings!$B$6*O105,K105-Settings!$B$6*O105))</f>
        <v/>
      </c>
      <c r="T105" s="7" t="n"/>
      <c r="V105" s="8">
        <f>IF(OR($E105="",T105=""),"",IF($E105="LONG",(T105-L105)*Q105,(L105-T105)*Q105))</f>
        <v/>
      </c>
      <c r="W105" s="10">
        <f>IF(V105="","",V105/N105)</f>
        <v/>
      </c>
      <c r="X105" s="11">
        <f>IF(V105="","",V105/R105)</f>
        <v/>
      </c>
      <c r="Y105" s="8">
        <f>IF(OR($E105="",L105=""),"",IF($E105="LONG",L105-K105,K105-L105))</f>
        <v/>
      </c>
      <c r="AP105" s="7" t="n"/>
    </row>
    <row r="106">
      <c r="H106" s="7" t="n"/>
      <c r="I106" s="7" t="n"/>
      <c r="J106" s="8">
        <f>IF($E106="","",MAX(Settings!$B$7,ROUND(Settings!$B$8*IF($E106="LONG",H106,I106),2)))</f>
        <v/>
      </c>
      <c r="K106" s="8">
        <f>IF($E106="","",IF($E106="LONG",H106+J106,I106-J106))</f>
        <v/>
      </c>
      <c r="L106" s="7" t="n"/>
      <c r="M106" s="8">
        <f>IF($E106="","",IF($E106="LONG",K106-O106,K106+O106))</f>
        <v/>
      </c>
      <c r="N106" s="7" t="n"/>
      <c r="O106" s="8">
        <f>IF(OR($E106="",AP106=""),"",ROUNDUP(ROUND(MAX(IF($E106="LONG",K106-I106,H106-K106),Settings!$B$9*AP106),6),2))</f>
        <v/>
      </c>
      <c r="P106" s="8">
        <f>IF($E106="","",N106*Settings!$B$4)</f>
        <v/>
      </c>
      <c r="Q106" s="9">
        <f>IF(O106="","",MIN(INT(ROUND(P106/O106,6)),INT(ROUND(Settings!$B$5/K106,6))))</f>
        <v/>
      </c>
      <c r="R106" s="8">
        <f>IF(O106="","",Q106*O106)</f>
        <v/>
      </c>
      <c r="S106" s="8">
        <f>IF(O106="","",IF($E106="LONG",K106+Settings!$B$6*O106,K106-Settings!$B$6*O106))</f>
        <v/>
      </c>
      <c r="T106" s="7" t="n"/>
      <c r="V106" s="8">
        <f>IF(OR($E106="",T106=""),"",IF($E106="LONG",(T106-L106)*Q106,(L106-T106)*Q106))</f>
        <v/>
      </c>
      <c r="W106" s="10">
        <f>IF(V106="","",V106/N106)</f>
        <v/>
      </c>
      <c r="X106" s="11">
        <f>IF(V106="","",V106/R106)</f>
        <v/>
      </c>
      <c r="Y106" s="8">
        <f>IF(OR($E106="",L106=""),"",IF($E106="LONG",L106-K106,K106-L106))</f>
        <v/>
      </c>
      <c r="AP106" s="7" t="n"/>
    </row>
    <row r="107">
      <c r="H107" s="7" t="n"/>
      <c r="I107" s="7" t="n"/>
      <c r="J107" s="8">
        <f>IF($E107="","",MAX(Settings!$B$7,ROUND(Settings!$B$8*IF($E107="LONG",H107,I107),2)))</f>
        <v/>
      </c>
      <c r="K107" s="8">
        <f>IF($E107="","",IF($E107="LONG",H107+J107,I107-J107))</f>
        <v/>
      </c>
      <c r="L107" s="7" t="n"/>
      <c r="M107" s="8">
        <f>IF($E107="","",IF($E107="LONG",K107-O107,K107+O107))</f>
        <v/>
      </c>
      <c r="N107" s="7" t="n"/>
      <c r="O107" s="8">
        <f>IF(OR($E107="",AP107=""),"",ROUNDUP(ROUND(MAX(IF($E107="LONG",K107-I107,H107-K107),Settings!$B$9*AP107),6),2))</f>
        <v/>
      </c>
      <c r="P107" s="8">
        <f>IF($E107="","",N107*Settings!$B$4)</f>
        <v/>
      </c>
      <c r="Q107" s="9">
        <f>IF(O107="","",MIN(INT(ROUND(P107/O107,6)),INT(ROUND(Settings!$B$5/K107,6))))</f>
        <v/>
      </c>
      <c r="R107" s="8">
        <f>IF(O107="","",Q107*O107)</f>
        <v/>
      </c>
      <c r="S107" s="8">
        <f>IF(O107="","",IF($E107="LONG",K107+Settings!$B$6*O107,K107-Settings!$B$6*O107))</f>
        <v/>
      </c>
      <c r="T107" s="7" t="n"/>
      <c r="V107" s="8">
        <f>IF(OR($E107="",T107=""),"",IF($E107="LONG",(T107-L107)*Q107,(L107-T107)*Q107))</f>
        <v/>
      </c>
      <c r="W107" s="10">
        <f>IF(V107="","",V107/N107)</f>
        <v/>
      </c>
      <c r="X107" s="11">
        <f>IF(V107="","",V107/R107)</f>
        <v/>
      </c>
      <c r="Y107" s="8">
        <f>IF(OR($E107="",L107=""),"",IF($E107="LONG",L107-K107,K107-L107))</f>
        <v/>
      </c>
      <c r="AP107" s="7" t="n"/>
    </row>
    <row r="108">
      <c r="H108" s="7" t="n"/>
      <c r="I108" s="7" t="n"/>
      <c r="J108" s="8">
        <f>IF($E108="","",MAX(Settings!$B$7,ROUND(Settings!$B$8*IF($E108="LONG",H108,I108),2)))</f>
        <v/>
      </c>
      <c r="K108" s="8">
        <f>IF($E108="","",IF($E108="LONG",H108+J108,I108-J108))</f>
        <v/>
      </c>
      <c r="L108" s="7" t="n"/>
      <c r="M108" s="8">
        <f>IF($E108="","",IF($E108="LONG",K108-O108,K108+O108))</f>
        <v/>
      </c>
      <c r="N108" s="7" t="n"/>
      <c r="O108" s="8">
        <f>IF(OR($E108="",AP108=""),"",ROUNDUP(ROUND(MAX(IF($E108="LONG",K108-I108,H108-K108),Settings!$B$9*AP108),6),2))</f>
        <v/>
      </c>
      <c r="P108" s="8">
        <f>IF($E108="","",N108*Settings!$B$4)</f>
        <v/>
      </c>
      <c r="Q108" s="9">
        <f>IF(O108="","",MIN(INT(ROUND(P108/O108,6)),INT(ROUND(Settings!$B$5/K108,6))))</f>
        <v/>
      </c>
      <c r="R108" s="8">
        <f>IF(O108="","",Q108*O108)</f>
        <v/>
      </c>
      <c r="S108" s="8">
        <f>IF(O108="","",IF($E108="LONG",K108+Settings!$B$6*O108,K108-Settings!$B$6*O108))</f>
        <v/>
      </c>
      <c r="T108" s="7" t="n"/>
      <c r="V108" s="8">
        <f>IF(OR($E108="",T108=""),"",IF($E108="LONG",(T108-L108)*Q108,(L108-T108)*Q108))</f>
        <v/>
      </c>
      <c r="W108" s="10">
        <f>IF(V108="","",V108/N108)</f>
        <v/>
      </c>
      <c r="X108" s="11">
        <f>IF(V108="","",V108/R108)</f>
        <v/>
      </c>
      <c r="Y108" s="8">
        <f>IF(OR($E108="",L108=""),"",IF($E108="LONG",L108-K108,K108-L108))</f>
        <v/>
      </c>
      <c r="AP108" s="7" t="n"/>
    </row>
    <row r="109">
      <c r="H109" s="7" t="n"/>
      <c r="I109" s="7" t="n"/>
      <c r="J109" s="8">
        <f>IF($E109="","",MAX(Settings!$B$7,ROUND(Settings!$B$8*IF($E109="LONG",H109,I109),2)))</f>
        <v/>
      </c>
      <c r="K109" s="8">
        <f>IF($E109="","",IF($E109="LONG",H109+J109,I109-J109))</f>
        <v/>
      </c>
      <c r="L109" s="7" t="n"/>
      <c r="M109" s="8">
        <f>IF($E109="","",IF($E109="LONG",K109-O109,K109+O109))</f>
        <v/>
      </c>
      <c r="N109" s="7" t="n"/>
      <c r="O109" s="8">
        <f>IF(OR($E109="",AP109=""),"",ROUNDUP(ROUND(MAX(IF($E109="LONG",K109-I109,H109-K109),Settings!$B$9*AP109),6),2))</f>
        <v/>
      </c>
      <c r="P109" s="8">
        <f>IF($E109="","",N109*Settings!$B$4)</f>
        <v/>
      </c>
      <c r="Q109" s="9">
        <f>IF(O109="","",MIN(INT(ROUND(P109/O109,6)),INT(ROUND(Settings!$B$5/K109,6))))</f>
        <v/>
      </c>
      <c r="R109" s="8">
        <f>IF(O109="","",Q109*O109)</f>
        <v/>
      </c>
      <c r="S109" s="8">
        <f>IF(O109="","",IF($E109="LONG",K109+Settings!$B$6*O109,K109-Settings!$B$6*O109))</f>
        <v/>
      </c>
      <c r="T109" s="7" t="n"/>
      <c r="V109" s="8">
        <f>IF(OR($E109="",T109=""),"",IF($E109="LONG",(T109-L109)*Q109,(L109-T109)*Q109))</f>
        <v/>
      </c>
      <c r="W109" s="10">
        <f>IF(V109="","",V109/N109)</f>
        <v/>
      </c>
      <c r="X109" s="11">
        <f>IF(V109="","",V109/R109)</f>
        <v/>
      </c>
      <c r="Y109" s="8">
        <f>IF(OR($E109="",L109=""),"",IF($E109="LONG",L109-K109,K109-L109))</f>
        <v/>
      </c>
      <c r="AP109" s="7" t="n"/>
    </row>
    <row r="110">
      <c r="H110" s="7" t="n"/>
      <c r="I110" s="7" t="n"/>
      <c r="J110" s="8">
        <f>IF($E110="","",MAX(Settings!$B$7,ROUND(Settings!$B$8*IF($E110="LONG",H110,I110),2)))</f>
        <v/>
      </c>
      <c r="K110" s="8">
        <f>IF($E110="","",IF($E110="LONG",H110+J110,I110-J110))</f>
        <v/>
      </c>
      <c r="L110" s="7" t="n"/>
      <c r="M110" s="8">
        <f>IF($E110="","",IF($E110="LONG",K110-O110,K110+O110))</f>
        <v/>
      </c>
      <c r="N110" s="7" t="n"/>
      <c r="O110" s="8">
        <f>IF(OR($E110="",AP110=""),"",ROUNDUP(ROUND(MAX(IF($E110="LONG",K110-I110,H110-K110),Settings!$B$9*AP110),6),2))</f>
        <v/>
      </c>
      <c r="P110" s="8">
        <f>IF($E110="","",N110*Settings!$B$4)</f>
        <v/>
      </c>
      <c r="Q110" s="9">
        <f>IF(O110="","",MIN(INT(ROUND(P110/O110,6)),INT(ROUND(Settings!$B$5/K110,6))))</f>
        <v/>
      </c>
      <c r="R110" s="8">
        <f>IF(O110="","",Q110*O110)</f>
        <v/>
      </c>
      <c r="S110" s="8">
        <f>IF(O110="","",IF($E110="LONG",K110+Settings!$B$6*O110,K110-Settings!$B$6*O110))</f>
        <v/>
      </c>
      <c r="T110" s="7" t="n"/>
      <c r="V110" s="8">
        <f>IF(OR($E110="",T110=""),"",IF($E110="LONG",(T110-L110)*Q110,(L110-T110)*Q110))</f>
        <v/>
      </c>
      <c r="W110" s="10">
        <f>IF(V110="","",V110/N110)</f>
        <v/>
      </c>
      <c r="X110" s="11">
        <f>IF(V110="","",V110/R110)</f>
        <v/>
      </c>
      <c r="Y110" s="8">
        <f>IF(OR($E110="",L110=""),"",IF($E110="LONG",L110-K110,K110-L110))</f>
        <v/>
      </c>
      <c r="AP110" s="7" t="n"/>
    </row>
    <row r="111">
      <c r="H111" s="7" t="n"/>
      <c r="I111" s="7" t="n"/>
      <c r="J111" s="8">
        <f>IF($E111="","",MAX(Settings!$B$7,ROUND(Settings!$B$8*IF($E111="LONG",H111,I111),2)))</f>
        <v/>
      </c>
      <c r="K111" s="8">
        <f>IF($E111="","",IF($E111="LONG",H111+J111,I111-J111))</f>
        <v/>
      </c>
      <c r="L111" s="7" t="n"/>
      <c r="M111" s="8">
        <f>IF($E111="","",IF($E111="LONG",K111-O111,K111+O111))</f>
        <v/>
      </c>
      <c r="N111" s="7" t="n"/>
      <c r="O111" s="8">
        <f>IF(OR($E111="",AP111=""),"",ROUNDUP(ROUND(MAX(IF($E111="LONG",K111-I111,H111-K111),Settings!$B$9*AP111),6),2))</f>
        <v/>
      </c>
      <c r="P111" s="8">
        <f>IF($E111="","",N111*Settings!$B$4)</f>
        <v/>
      </c>
      <c r="Q111" s="9">
        <f>IF(O111="","",MIN(INT(ROUND(P111/O111,6)),INT(ROUND(Settings!$B$5/K111,6))))</f>
        <v/>
      </c>
      <c r="R111" s="8">
        <f>IF(O111="","",Q111*O111)</f>
        <v/>
      </c>
      <c r="S111" s="8">
        <f>IF(O111="","",IF($E111="LONG",K111+Settings!$B$6*O111,K111-Settings!$B$6*O111))</f>
        <v/>
      </c>
      <c r="T111" s="7" t="n"/>
      <c r="V111" s="8">
        <f>IF(OR($E111="",T111=""),"",IF($E111="LONG",(T111-L111)*Q111,(L111-T111)*Q111))</f>
        <v/>
      </c>
      <c r="W111" s="10">
        <f>IF(V111="","",V111/N111)</f>
        <v/>
      </c>
      <c r="X111" s="11">
        <f>IF(V111="","",V111/R111)</f>
        <v/>
      </c>
      <c r="Y111" s="8">
        <f>IF(OR($E111="",L111=""),"",IF($E111="LONG",L111-K111,K111-L111))</f>
        <v/>
      </c>
      <c r="AP111" s="7" t="n"/>
    </row>
    <row r="112">
      <c r="H112" s="7" t="n"/>
      <c r="I112" s="7" t="n"/>
      <c r="J112" s="8">
        <f>IF($E112="","",MAX(Settings!$B$7,ROUND(Settings!$B$8*IF($E112="LONG",H112,I112),2)))</f>
        <v/>
      </c>
      <c r="K112" s="8">
        <f>IF($E112="","",IF($E112="LONG",H112+J112,I112-J112))</f>
        <v/>
      </c>
      <c r="L112" s="7" t="n"/>
      <c r="M112" s="8">
        <f>IF($E112="","",IF($E112="LONG",K112-O112,K112+O112))</f>
        <v/>
      </c>
      <c r="N112" s="7" t="n"/>
      <c r="O112" s="8">
        <f>IF(OR($E112="",AP112=""),"",ROUNDUP(ROUND(MAX(IF($E112="LONG",K112-I112,H112-K112),Settings!$B$9*AP112),6),2))</f>
        <v/>
      </c>
      <c r="P112" s="8">
        <f>IF($E112="","",N112*Settings!$B$4)</f>
        <v/>
      </c>
      <c r="Q112" s="9">
        <f>IF(O112="","",MIN(INT(ROUND(P112/O112,6)),INT(ROUND(Settings!$B$5/K112,6))))</f>
        <v/>
      </c>
      <c r="R112" s="8">
        <f>IF(O112="","",Q112*O112)</f>
        <v/>
      </c>
      <c r="S112" s="8">
        <f>IF(O112="","",IF($E112="LONG",K112+Settings!$B$6*O112,K112-Settings!$B$6*O112))</f>
        <v/>
      </c>
      <c r="T112" s="7" t="n"/>
      <c r="V112" s="8">
        <f>IF(OR($E112="",T112=""),"",IF($E112="LONG",(T112-L112)*Q112,(L112-T112)*Q112))</f>
        <v/>
      </c>
      <c r="W112" s="10">
        <f>IF(V112="","",V112/N112)</f>
        <v/>
      </c>
      <c r="X112" s="11">
        <f>IF(V112="","",V112/R112)</f>
        <v/>
      </c>
      <c r="Y112" s="8">
        <f>IF(OR($E112="",L112=""),"",IF($E112="LONG",L112-K112,K112-L112))</f>
        <v/>
      </c>
      <c r="AP112" s="7" t="n"/>
    </row>
    <row r="113">
      <c r="H113" s="7" t="n"/>
      <c r="I113" s="7" t="n"/>
      <c r="J113" s="8">
        <f>IF($E113="","",MAX(Settings!$B$7,ROUND(Settings!$B$8*IF($E113="LONG",H113,I113),2)))</f>
        <v/>
      </c>
      <c r="K113" s="8">
        <f>IF($E113="","",IF($E113="LONG",H113+J113,I113-J113))</f>
        <v/>
      </c>
      <c r="L113" s="7" t="n"/>
      <c r="M113" s="8">
        <f>IF($E113="","",IF($E113="LONG",K113-O113,K113+O113))</f>
        <v/>
      </c>
      <c r="N113" s="7" t="n"/>
      <c r="O113" s="8">
        <f>IF(OR($E113="",AP113=""),"",ROUNDUP(ROUND(MAX(IF($E113="LONG",K113-I113,H113-K113),Settings!$B$9*AP113),6),2))</f>
        <v/>
      </c>
      <c r="P113" s="8">
        <f>IF($E113="","",N113*Settings!$B$4)</f>
        <v/>
      </c>
      <c r="Q113" s="9">
        <f>IF(O113="","",MIN(INT(ROUND(P113/O113,6)),INT(ROUND(Settings!$B$5/K113,6))))</f>
        <v/>
      </c>
      <c r="R113" s="8">
        <f>IF(O113="","",Q113*O113)</f>
        <v/>
      </c>
      <c r="S113" s="8">
        <f>IF(O113="","",IF($E113="LONG",K113+Settings!$B$6*O113,K113-Settings!$B$6*O113))</f>
        <v/>
      </c>
      <c r="T113" s="7" t="n"/>
      <c r="V113" s="8">
        <f>IF(OR($E113="",T113=""),"",IF($E113="LONG",(T113-L113)*Q113,(L113-T113)*Q113))</f>
        <v/>
      </c>
      <c r="W113" s="10">
        <f>IF(V113="","",V113/N113)</f>
        <v/>
      </c>
      <c r="X113" s="11">
        <f>IF(V113="","",V113/R113)</f>
        <v/>
      </c>
      <c r="Y113" s="8">
        <f>IF(OR($E113="",L113=""),"",IF($E113="LONG",L113-K113,K113-L113))</f>
        <v/>
      </c>
      <c r="AP113" s="7" t="n"/>
    </row>
    <row r="114">
      <c r="H114" s="7" t="n"/>
      <c r="I114" s="7" t="n"/>
      <c r="J114" s="8">
        <f>IF($E114="","",MAX(Settings!$B$7,ROUND(Settings!$B$8*IF($E114="LONG",H114,I114),2)))</f>
        <v/>
      </c>
      <c r="K114" s="8">
        <f>IF($E114="","",IF($E114="LONG",H114+J114,I114-J114))</f>
        <v/>
      </c>
      <c r="L114" s="7" t="n"/>
      <c r="M114" s="8">
        <f>IF($E114="","",IF($E114="LONG",K114-O114,K114+O114))</f>
        <v/>
      </c>
      <c r="N114" s="7" t="n"/>
      <c r="O114" s="8">
        <f>IF(OR($E114="",AP114=""),"",ROUNDUP(ROUND(MAX(IF($E114="LONG",K114-I114,H114-K114),Settings!$B$9*AP114),6),2))</f>
        <v/>
      </c>
      <c r="P114" s="8">
        <f>IF($E114="","",N114*Settings!$B$4)</f>
        <v/>
      </c>
      <c r="Q114" s="9">
        <f>IF(O114="","",MIN(INT(ROUND(P114/O114,6)),INT(ROUND(Settings!$B$5/K114,6))))</f>
        <v/>
      </c>
      <c r="R114" s="8">
        <f>IF(O114="","",Q114*O114)</f>
        <v/>
      </c>
      <c r="S114" s="8">
        <f>IF(O114="","",IF($E114="LONG",K114+Settings!$B$6*O114,K114-Settings!$B$6*O114))</f>
        <v/>
      </c>
      <c r="T114" s="7" t="n"/>
      <c r="V114" s="8">
        <f>IF(OR($E114="",T114=""),"",IF($E114="LONG",(T114-L114)*Q114,(L114-T114)*Q114))</f>
        <v/>
      </c>
      <c r="W114" s="10">
        <f>IF(V114="","",V114/N114)</f>
        <v/>
      </c>
      <c r="X114" s="11">
        <f>IF(V114="","",V114/R114)</f>
        <v/>
      </c>
      <c r="Y114" s="8">
        <f>IF(OR($E114="",L114=""),"",IF($E114="LONG",L114-K114,K114-L114))</f>
        <v/>
      </c>
      <c r="AP114" s="7" t="n"/>
    </row>
    <row r="115">
      <c r="H115" s="7" t="n"/>
      <c r="I115" s="7" t="n"/>
      <c r="J115" s="8">
        <f>IF($E115="","",MAX(Settings!$B$7,ROUND(Settings!$B$8*IF($E115="LONG",H115,I115),2)))</f>
        <v/>
      </c>
      <c r="K115" s="8">
        <f>IF($E115="","",IF($E115="LONG",H115+J115,I115-J115))</f>
        <v/>
      </c>
      <c r="L115" s="7" t="n"/>
      <c r="M115" s="8">
        <f>IF($E115="","",IF($E115="LONG",K115-O115,K115+O115))</f>
        <v/>
      </c>
      <c r="N115" s="7" t="n"/>
      <c r="O115" s="8">
        <f>IF(OR($E115="",AP115=""),"",ROUNDUP(ROUND(MAX(IF($E115="LONG",K115-I115,H115-K115),Settings!$B$9*AP115),6),2))</f>
        <v/>
      </c>
      <c r="P115" s="8">
        <f>IF($E115="","",N115*Settings!$B$4)</f>
        <v/>
      </c>
      <c r="Q115" s="9">
        <f>IF(O115="","",MIN(INT(ROUND(P115/O115,6)),INT(ROUND(Settings!$B$5/K115,6))))</f>
        <v/>
      </c>
      <c r="R115" s="8">
        <f>IF(O115="","",Q115*O115)</f>
        <v/>
      </c>
      <c r="S115" s="8">
        <f>IF(O115="","",IF($E115="LONG",K115+Settings!$B$6*O115,K115-Settings!$B$6*O115))</f>
        <v/>
      </c>
      <c r="T115" s="7" t="n"/>
      <c r="V115" s="8">
        <f>IF(OR($E115="",T115=""),"",IF($E115="LONG",(T115-L115)*Q115,(L115-T115)*Q115))</f>
        <v/>
      </c>
      <c r="W115" s="10">
        <f>IF(V115="","",V115/N115)</f>
        <v/>
      </c>
      <c r="X115" s="11">
        <f>IF(V115="","",V115/R115)</f>
        <v/>
      </c>
      <c r="Y115" s="8">
        <f>IF(OR($E115="",L115=""),"",IF($E115="LONG",L115-K115,K115-L115))</f>
        <v/>
      </c>
      <c r="AP115" s="7" t="n"/>
    </row>
    <row r="116">
      <c r="H116" s="7" t="n"/>
      <c r="I116" s="7" t="n"/>
      <c r="J116" s="8">
        <f>IF($E116="","",MAX(Settings!$B$7,ROUND(Settings!$B$8*IF($E116="LONG",H116,I116),2)))</f>
        <v/>
      </c>
      <c r="K116" s="8">
        <f>IF($E116="","",IF($E116="LONG",H116+J116,I116-J116))</f>
        <v/>
      </c>
      <c r="L116" s="7" t="n"/>
      <c r="M116" s="8">
        <f>IF($E116="","",IF($E116="LONG",K116-O116,K116+O116))</f>
        <v/>
      </c>
      <c r="N116" s="7" t="n"/>
      <c r="O116" s="8">
        <f>IF(OR($E116="",AP116=""),"",ROUNDUP(ROUND(MAX(IF($E116="LONG",K116-I116,H116-K116),Settings!$B$9*AP116),6),2))</f>
        <v/>
      </c>
      <c r="P116" s="8">
        <f>IF($E116="","",N116*Settings!$B$4)</f>
        <v/>
      </c>
      <c r="Q116" s="9">
        <f>IF(O116="","",MIN(INT(ROUND(P116/O116,6)),INT(ROUND(Settings!$B$5/K116,6))))</f>
        <v/>
      </c>
      <c r="R116" s="8">
        <f>IF(O116="","",Q116*O116)</f>
        <v/>
      </c>
      <c r="S116" s="8">
        <f>IF(O116="","",IF($E116="LONG",K116+Settings!$B$6*O116,K116-Settings!$B$6*O116))</f>
        <v/>
      </c>
      <c r="T116" s="7" t="n"/>
      <c r="V116" s="8">
        <f>IF(OR($E116="",T116=""),"",IF($E116="LONG",(T116-L116)*Q116,(L116-T116)*Q116))</f>
        <v/>
      </c>
      <c r="W116" s="10">
        <f>IF(V116="","",V116/N116)</f>
        <v/>
      </c>
      <c r="X116" s="11">
        <f>IF(V116="","",V116/R116)</f>
        <v/>
      </c>
      <c r="Y116" s="8">
        <f>IF(OR($E116="",L116=""),"",IF($E116="LONG",L116-K116,K116-L116))</f>
        <v/>
      </c>
      <c r="AP116" s="7" t="n"/>
    </row>
    <row r="117">
      <c r="H117" s="7" t="n"/>
      <c r="I117" s="7" t="n"/>
      <c r="J117" s="8">
        <f>IF($E117="","",MAX(Settings!$B$7,ROUND(Settings!$B$8*IF($E117="LONG",H117,I117),2)))</f>
        <v/>
      </c>
      <c r="K117" s="8">
        <f>IF($E117="","",IF($E117="LONG",H117+J117,I117-J117))</f>
        <v/>
      </c>
      <c r="L117" s="7" t="n"/>
      <c r="M117" s="8">
        <f>IF($E117="","",IF($E117="LONG",K117-O117,K117+O117))</f>
        <v/>
      </c>
      <c r="N117" s="7" t="n"/>
      <c r="O117" s="8">
        <f>IF(OR($E117="",AP117=""),"",ROUNDUP(ROUND(MAX(IF($E117="LONG",K117-I117,H117-K117),Settings!$B$9*AP117),6),2))</f>
        <v/>
      </c>
      <c r="P117" s="8">
        <f>IF($E117="","",N117*Settings!$B$4)</f>
        <v/>
      </c>
      <c r="Q117" s="9">
        <f>IF(O117="","",MIN(INT(ROUND(P117/O117,6)),INT(ROUND(Settings!$B$5/K117,6))))</f>
        <v/>
      </c>
      <c r="R117" s="8">
        <f>IF(O117="","",Q117*O117)</f>
        <v/>
      </c>
      <c r="S117" s="8">
        <f>IF(O117="","",IF($E117="LONG",K117+Settings!$B$6*O117,K117-Settings!$B$6*O117))</f>
        <v/>
      </c>
      <c r="T117" s="7" t="n"/>
      <c r="V117" s="8">
        <f>IF(OR($E117="",T117=""),"",IF($E117="LONG",(T117-L117)*Q117,(L117-T117)*Q117))</f>
        <v/>
      </c>
      <c r="W117" s="10">
        <f>IF(V117="","",V117/N117)</f>
        <v/>
      </c>
      <c r="X117" s="11">
        <f>IF(V117="","",V117/R117)</f>
        <v/>
      </c>
      <c r="Y117" s="8">
        <f>IF(OR($E117="",L117=""),"",IF($E117="LONG",L117-K117,K117-L117))</f>
        <v/>
      </c>
      <c r="AP117" s="7" t="n"/>
    </row>
    <row r="118">
      <c r="H118" s="7" t="n"/>
      <c r="I118" s="7" t="n"/>
      <c r="J118" s="8">
        <f>IF($E118="","",MAX(Settings!$B$7,ROUND(Settings!$B$8*IF($E118="LONG",H118,I118),2)))</f>
        <v/>
      </c>
      <c r="K118" s="8">
        <f>IF($E118="","",IF($E118="LONG",H118+J118,I118-J118))</f>
        <v/>
      </c>
      <c r="L118" s="7" t="n"/>
      <c r="M118" s="8">
        <f>IF($E118="","",IF($E118="LONG",K118-O118,K118+O118))</f>
        <v/>
      </c>
      <c r="N118" s="7" t="n"/>
      <c r="O118" s="8">
        <f>IF(OR($E118="",AP118=""),"",ROUNDUP(ROUND(MAX(IF($E118="LONG",K118-I118,H118-K118),Settings!$B$9*AP118),6),2))</f>
        <v/>
      </c>
      <c r="P118" s="8">
        <f>IF($E118="","",N118*Settings!$B$4)</f>
        <v/>
      </c>
      <c r="Q118" s="9">
        <f>IF(O118="","",MIN(INT(ROUND(P118/O118,6)),INT(ROUND(Settings!$B$5/K118,6))))</f>
        <v/>
      </c>
      <c r="R118" s="8">
        <f>IF(O118="","",Q118*O118)</f>
        <v/>
      </c>
      <c r="S118" s="8">
        <f>IF(O118="","",IF($E118="LONG",K118+Settings!$B$6*O118,K118-Settings!$B$6*O118))</f>
        <v/>
      </c>
      <c r="T118" s="7" t="n"/>
      <c r="V118" s="8">
        <f>IF(OR($E118="",T118=""),"",IF($E118="LONG",(T118-L118)*Q118,(L118-T118)*Q118))</f>
        <v/>
      </c>
      <c r="W118" s="10">
        <f>IF(V118="","",V118/N118)</f>
        <v/>
      </c>
      <c r="X118" s="11">
        <f>IF(V118="","",V118/R118)</f>
        <v/>
      </c>
      <c r="Y118" s="8">
        <f>IF(OR($E118="",L118=""),"",IF($E118="LONG",L118-K118,K118-L118))</f>
        <v/>
      </c>
      <c r="AP118" s="7" t="n"/>
    </row>
    <row r="119">
      <c r="H119" s="7" t="n"/>
      <c r="I119" s="7" t="n"/>
      <c r="J119" s="8">
        <f>IF($E119="","",MAX(Settings!$B$7,ROUND(Settings!$B$8*IF($E119="LONG",H119,I119),2)))</f>
        <v/>
      </c>
      <c r="K119" s="8">
        <f>IF($E119="","",IF($E119="LONG",H119+J119,I119-J119))</f>
        <v/>
      </c>
      <c r="L119" s="7" t="n"/>
      <c r="M119" s="8">
        <f>IF($E119="","",IF($E119="LONG",K119-O119,K119+O119))</f>
        <v/>
      </c>
      <c r="N119" s="7" t="n"/>
      <c r="O119" s="8">
        <f>IF(OR($E119="",AP119=""),"",ROUNDUP(ROUND(MAX(IF($E119="LONG",K119-I119,H119-K119),Settings!$B$9*AP119),6),2))</f>
        <v/>
      </c>
      <c r="P119" s="8">
        <f>IF($E119="","",N119*Settings!$B$4)</f>
        <v/>
      </c>
      <c r="Q119" s="9">
        <f>IF(O119="","",MIN(INT(ROUND(P119/O119,6)),INT(ROUND(Settings!$B$5/K119,6))))</f>
        <v/>
      </c>
      <c r="R119" s="8">
        <f>IF(O119="","",Q119*O119)</f>
        <v/>
      </c>
      <c r="S119" s="8">
        <f>IF(O119="","",IF($E119="LONG",K119+Settings!$B$6*O119,K119-Settings!$B$6*O119))</f>
        <v/>
      </c>
      <c r="T119" s="7" t="n"/>
      <c r="V119" s="8">
        <f>IF(OR($E119="",T119=""),"",IF($E119="LONG",(T119-L119)*Q119,(L119-T119)*Q119))</f>
        <v/>
      </c>
      <c r="W119" s="10">
        <f>IF(V119="","",V119/N119)</f>
        <v/>
      </c>
      <c r="X119" s="11">
        <f>IF(V119="","",V119/R119)</f>
        <v/>
      </c>
      <c r="Y119" s="8">
        <f>IF(OR($E119="",L119=""),"",IF($E119="LONG",L119-K119,K119-L119))</f>
        <v/>
      </c>
      <c r="AP119" s="7" t="n"/>
    </row>
    <row r="120">
      <c r="H120" s="7" t="n"/>
      <c r="I120" s="7" t="n"/>
      <c r="J120" s="8">
        <f>IF($E120="","",MAX(Settings!$B$7,ROUND(Settings!$B$8*IF($E120="LONG",H120,I120),2)))</f>
        <v/>
      </c>
      <c r="K120" s="8">
        <f>IF($E120="","",IF($E120="LONG",H120+J120,I120-J120))</f>
        <v/>
      </c>
      <c r="L120" s="7" t="n"/>
      <c r="M120" s="8">
        <f>IF($E120="","",IF($E120="LONG",K120-O120,K120+O120))</f>
        <v/>
      </c>
      <c r="N120" s="7" t="n"/>
      <c r="O120" s="8">
        <f>IF(OR($E120="",AP120=""),"",ROUNDUP(ROUND(MAX(IF($E120="LONG",K120-I120,H120-K120),Settings!$B$9*AP120),6),2))</f>
        <v/>
      </c>
      <c r="P120" s="8">
        <f>IF($E120="","",N120*Settings!$B$4)</f>
        <v/>
      </c>
      <c r="Q120" s="9">
        <f>IF(O120="","",MIN(INT(ROUND(P120/O120,6)),INT(ROUND(Settings!$B$5/K120,6))))</f>
        <v/>
      </c>
      <c r="R120" s="8">
        <f>IF(O120="","",Q120*O120)</f>
        <v/>
      </c>
      <c r="S120" s="8">
        <f>IF(O120="","",IF($E120="LONG",K120+Settings!$B$6*O120,K120-Settings!$B$6*O120))</f>
        <v/>
      </c>
      <c r="T120" s="7" t="n"/>
      <c r="V120" s="8">
        <f>IF(OR($E120="",T120=""),"",IF($E120="LONG",(T120-L120)*Q120,(L120-T120)*Q120))</f>
        <v/>
      </c>
      <c r="W120" s="10">
        <f>IF(V120="","",V120/N120)</f>
        <v/>
      </c>
      <c r="X120" s="11">
        <f>IF(V120="","",V120/R120)</f>
        <v/>
      </c>
      <c r="Y120" s="8">
        <f>IF(OR($E120="",L120=""),"",IF($E120="LONG",L120-K120,K120-L120))</f>
        <v/>
      </c>
      <c r="AP120" s="7" t="n"/>
    </row>
    <row r="121">
      <c r="H121" s="7" t="n"/>
      <c r="I121" s="7" t="n"/>
      <c r="J121" s="8">
        <f>IF($E121="","",MAX(Settings!$B$7,ROUND(Settings!$B$8*IF($E121="LONG",H121,I121),2)))</f>
        <v/>
      </c>
      <c r="K121" s="8">
        <f>IF($E121="","",IF($E121="LONG",H121+J121,I121-J121))</f>
        <v/>
      </c>
      <c r="L121" s="7" t="n"/>
      <c r="M121" s="8">
        <f>IF($E121="","",IF($E121="LONG",K121-O121,K121+O121))</f>
        <v/>
      </c>
      <c r="N121" s="7" t="n"/>
      <c r="O121" s="8">
        <f>IF(OR($E121="",AP121=""),"",ROUNDUP(ROUND(MAX(IF($E121="LONG",K121-I121,H121-K121),Settings!$B$9*AP121),6),2))</f>
        <v/>
      </c>
      <c r="P121" s="8">
        <f>IF($E121="","",N121*Settings!$B$4)</f>
        <v/>
      </c>
      <c r="Q121" s="9">
        <f>IF(O121="","",MIN(INT(ROUND(P121/O121,6)),INT(ROUND(Settings!$B$5/K121,6))))</f>
        <v/>
      </c>
      <c r="R121" s="8">
        <f>IF(O121="","",Q121*O121)</f>
        <v/>
      </c>
      <c r="S121" s="8">
        <f>IF(O121="","",IF($E121="LONG",K121+Settings!$B$6*O121,K121-Settings!$B$6*O121))</f>
        <v/>
      </c>
      <c r="T121" s="7" t="n"/>
      <c r="V121" s="8">
        <f>IF(OR($E121="",T121=""),"",IF($E121="LONG",(T121-L121)*Q121,(L121-T121)*Q121))</f>
        <v/>
      </c>
      <c r="W121" s="10">
        <f>IF(V121="","",V121/N121)</f>
        <v/>
      </c>
      <c r="X121" s="11">
        <f>IF(V121="","",V121/R121)</f>
        <v/>
      </c>
      <c r="Y121" s="8">
        <f>IF(OR($E121="",L121=""),"",IF($E121="LONG",L121-K121,K121-L121))</f>
        <v/>
      </c>
      <c r="AP121" s="7" t="n"/>
    </row>
    <row r="122">
      <c r="H122" s="7" t="n"/>
      <c r="I122" s="7" t="n"/>
      <c r="J122" s="8">
        <f>IF($E122="","",MAX(Settings!$B$7,ROUND(Settings!$B$8*IF($E122="LONG",H122,I122),2)))</f>
        <v/>
      </c>
      <c r="K122" s="8">
        <f>IF($E122="","",IF($E122="LONG",H122+J122,I122-J122))</f>
        <v/>
      </c>
      <c r="L122" s="7" t="n"/>
      <c r="M122" s="8">
        <f>IF($E122="","",IF($E122="LONG",K122-O122,K122+O122))</f>
        <v/>
      </c>
      <c r="N122" s="7" t="n"/>
      <c r="O122" s="8">
        <f>IF(OR($E122="",AP122=""),"",ROUNDUP(ROUND(MAX(IF($E122="LONG",K122-I122,H122-K122),Settings!$B$9*AP122),6),2))</f>
        <v/>
      </c>
      <c r="P122" s="8">
        <f>IF($E122="","",N122*Settings!$B$4)</f>
        <v/>
      </c>
      <c r="Q122" s="9">
        <f>IF(O122="","",MIN(INT(ROUND(P122/O122,6)),INT(ROUND(Settings!$B$5/K122,6))))</f>
        <v/>
      </c>
      <c r="R122" s="8">
        <f>IF(O122="","",Q122*O122)</f>
        <v/>
      </c>
      <c r="S122" s="8">
        <f>IF(O122="","",IF($E122="LONG",K122+Settings!$B$6*O122,K122-Settings!$B$6*O122))</f>
        <v/>
      </c>
      <c r="T122" s="7" t="n"/>
      <c r="V122" s="8">
        <f>IF(OR($E122="",T122=""),"",IF($E122="LONG",(T122-L122)*Q122,(L122-T122)*Q122))</f>
        <v/>
      </c>
      <c r="W122" s="10">
        <f>IF(V122="","",V122/N122)</f>
        <v/>
      </c>
      <c r="X122" s="11">
        <f>IF(V122="","",V122/R122)</f>
        <v/>
      </c>
      <c r="Y122" s="8">
        <f>IF(OR($E122="",L122=""),"",IF($E122="LONG",L122-K122,K122-L122))</f>
        <v/>
      </c>
      <c r="AP122" s="7" t="n"/>
    </row>
    <row r="123">
      <c r="H123" s="7" t="n"/>
      <c r="I123" s="7" t="n"/>
      <c r="J123" s="8">
        <f>IF($E123="","",MAX(Settings!$B$7,ROUND(Settings!$B$8*IF($E123="LONG",H123,I123),2)))</f>
        <v/>
      </c>
      <c r="K123" s="8">
        <f>IF($E123="","",IF($E123="LONG",H123+J123,I123-J123))</f>
        <v/>
      </c>
      <c r="L123" s="7" t="n"/>
      <c r="M123" s="8">
        <f>IF($E123="","",IF($E123="LONG",K123-O123,K123+O123))</f>
        <v/>
      </c>
      <c r="N123" s="7" t="n"/>
      <c r="O123" s="8">
        <f>IF(OR($E123="",AP123=""),"",ROUNDUP(ROUND(MAX(IF($E123="LONG",K123-I123,H123-K123),Settings!$B$9*AP123),6),2))</f>
        <v/>
      </c>
      <c r="P123" s="8">
        <f>IF($E123="","",N123*Settings!$B$4)</f>
        <v/>
      </c>
      <c r="Q123" s="9">
        <f>IF(O123="","",MIN(INT(ROUND(P123/O123,6)),INT(ROUND(Settings!$B$5/K123,6))))</f>
        <v/>
      </c>
      <c r="R123" s="8">
        <f>IF(O123="","",Q123*O123)</f>
        <v/>
      </c>
      <c r="S123" s="8">
        <f>IF(O123="","",IF($E123="LONG",K123+Settings!$B$6*O123,K123-Settings!$B$6*O123))</f>
        <v/>
      </c>
      <c r="T123" s="7" t="n"/>
      <c r="V123" s="8">
        <f>IF(OR($E123="",T123=""),"",IF($E123="LONG",(T123-L123)*Q123,(L123-T123)*Q123))</f>
        <v/>
      </c>
      <c r="W123" s="10">
        <f>IF(V123="","",V123/N123)</f>
        <v/>
      </c>
      <c r="X123" s="11">
        <f>IF(V123="","",V123/R123)</f>
        <v/>
      </c>
      <c r="Y123" s="8">
        <f>IF(OR($E123="",L123=""),"",IF($E123="LONG",L123-K123,K123-L123))</f>
        <v/>
      </c>
      <c r="AP123" s="7" t="n"/>
    </row>
    <row r="124">
      <c r="H124" s="7" t="n"/>
      <c r="I124" s="7" t="n"/>
      <c r="J124" s="8">
        <f>IF($E124="","",MAX(Settings!$B$7,ROUND(Settings!$B$8*IF($E124="LONG",H124,I124),2)))</f>
        <v/>
      </c>
      <c r="K124" s="8">
        <f>IF($E124="","",IF($E124="LONG",H124+J124,I124-J124))</f>
        <v/>
      </c>
      <c r="L124" s="7" t="n"/>
      <c r="M124" s="8">
        <f>IF($E124="","",IF($E124="LONG",K124-O124,K124+O124))</f>
        <v/>
      </c>
      <c r="N124" s="7" t="n"/>
      <c r="O124" s="8">
        <f>IF(OR($E124="",AP124=""),"",ROUNDUP(ROUND(MAX(IF($E124="LONG",K124-I124,H124-K124),Settings!$B$9*AP124),6),2))</f>
        <v/>
      </c>
      <c r="P124" s="8">
        <f>IF($E124="","",N124*Settings!$B$4)</f>
        <v/>
      </c>
      <c r="Q124" s="9">
        <f>IF(O124="","",MIN(INT(ROUND(P124/O124,6)),INT(ROUND(Settings!$B$5/K124,6))))</f>
        <v/>
      </c>
      <c r="R124" s="8">
        <f>IF(O124="","",Q124*O124)</f>
        <v/>
      </c>
      <c r="S124" s="8">
        <f>IF(O124="","",IF($E124="LONG",K124+Settings!$B$6*O124,K124-Settings!$B$6*O124))</f>
        <v/>
      </c>
      <c r="T124" s="7" t="n"/>
      <c r="V124" s="8">
        <f>IF(OR($E124="",T124=""),"",IF($E124="LONG",(T124-L124)*Q124,(L124-T124)*Q124))</f>
        <v/>
      </c>
      <c r="W124" s="10">
        <f>IF(V124="","",V124/N124)</f>
        <v/>
      </c>
      <c r="X124" s="11">
        <f>IF(V124="","",V124/R124)</f>
        <v/>
      </c>
      <c r="Y124" s="8">
        <f>IF(OR($E124="",L124=""),"",IF($E124="LONG",L124-K124,K124-L124))</f>
        <v/>
      </c>
      <c r="AP124" s="7" t="n"/>
    </row>
    <row r="125">
      <c r="H125" s="7" t="n"/>
      <c r="I125" s="7" t="n"/>
      <c r="J125" s="8">
        <f>IF($E125="","",MAX(Settings!$B$7,ROUND(Settings!$B$8*IF($E125="LONG",H125,I125),2)))</f>
        <v/>
      </c>
      <c r="K125" s="8">
        <f>IF($E125="","",IF($E125="LONG",H125+J125,I125-J125))</f>
        <v/>
      </c>
      <c r="L125" s="7" t="n"/>
      <c r="M125" s="8">
        <f>IF($E125="","",IF($E125="LONG",K125-O125,K125+O125))</f>
        <v/>
      </c>
      <c r="N125" s="7" t="n"/>
      <c r="O125" s="8">
        <f>IF(OR($E125="",AP125=""),"",ROUNDUP(ROUND(MAX(IF($E125="LONG",K125-I125,H125-K125),Settings!$B$9*AP125),6),2))</f>
        <v/>
      </c>
      <c r="P125" s="8">
        <f>IF($E125="","",N125*Settings!$B$4)</f>
        <v/>
      </c>
      <c r="Q125" s="9">
        <f>IF(O125="","",MIN(INT(ROUND(P125/O125,6)),INT(ROUND(Settings!$B$5/K125,6))))</f>
        <v/>
      </c>
      <c r="R125" s="8">
        <f>IF(O125="","",Q125*O125)</f>
        <v/>
      </c>
      <c r="S125" s="8">
        <f>IF(O125="","",IF($E125="LONG",K125+Settings!$B$6*O125,K125-Settings!$B$6*O125))</f>
        <v/>
      </c>
      <c r="T125" s="7" t="n"/>
      <c r="V125" s="8">
        <f>IF(OR($E125="",T125=""),"",IF($E125="LONG",(T125-L125)*Q125,(L125-T125)*Q125))</f>
        <v/>
      </c>
      <c r="W125" s="10">
        <f>IF(V125="","",V125/N125)</f>
        <v/>
      </c>
      <c r="X125" s="11">
        <f>IF(V125="","",V125/R125)</f>
        <v/>
      </c>
      <c r="Y125" s="8">
        <f>IF(OR($E125="",L125=""),"",IF($E125="LONG",L125-K125,K125-L125))</f>
        <v/>
      </c>
      <c r="AP125" s="7" t="n"/>
    </row>
    <row r="126">
      <c r="H126" s="7" t="n"/>
      <c r="I126" s="7" t="n"/>
      <c r="J126" s="8">
        <f>IF($E126="","",MAX(Settings!$B$7,ROUND(Settings!$B$8*IF($E126="LONG",H126,I126),2)))</f>
        <v/>
      </c>
      <c r="K126" s="8">
        <f>IF($E126="","",IF($E126="LONG",H126+J126,I126-J126))</f>
        <v/>
      </c>
      <c r="L126" s="7" t="n"/>
      <c r="M126" s="8">
        <f>IF($E126="","",IF($E126="LONG",K126-O126,K126+O126))</f>
        <v/>
      </c>
      <c r="N126" s="7" t="n"/>
      <c r="O126" s="8">
        <f>IF(OR($E126="",AP126=""),"",ROUNDUP(ROUND(MAX(IF($E126="LONG",K126-I126,H126-K126),Settings!$B$9*AP126),6),2))</f>
        <v/>
      </c>
      <c r="P126" s="8">
        <f>IF($E126="","",N126*Settings!$B$4)</f>
        <v/>
      </c>
      <c r="Q126" s="9">
        <f>IF(O126="","",MIN(INT(ROUND(P126/O126,6)),INT(ROUND(Settings!$B$5/K126,6))))</f>
        <v/>
      </c>
      <c r="R126" s="8">
        <f>IF(O126="","",Q126*O126)</f>
        <v/>
      </c>
      <c r="S126" s="8">
        <f>IF(O126="","",IF($E126="LONG",K126+Settings!$B$6*O126,K126-Settings!$B$6*O126))</f>
        <v/>
      </c>
      <c r="T126" s="7" t="n"/>
      <c r="V126" s="8">
        <f>IF(OR($E126="",T126=""),"",IF($E126="LONG",(T126-L126)*Q126,(L126-T126)*Q126))</f>
        <v/>
      </c>
      <c r="W126" s="10">
        <f>IF(V126="","",V126/N126)</f>
        <v/>
      </c>
      <c r="X126" s="11">
        <f>IF(V126="","",V126/R126)</f>
        <v/>
      </c>
      <c r="Y126" s="8">
        <f>IF(OR($E126="",L126=""),"",IF($E126="LONG",L126-K126,K126-L126))</f>
        <v/>
      </c>
      <c r="AP126" s="7" t="n"/>
    </row>
    <row r="127">
      <c r="H127" s="7" t="n"/>
      <c r="I127" s="7" t="n"/>
      <c r="J127" s="8">
        <f>IF($E127="","",MAX(Settings!$B$7,ROUND(Settings!$B$8*IF($E127="LONG",H127,I127),2)))</f>
        <v/>
      </c>
      <c r="K127" s="8">
        <f>IF($E127="","",IF($E127="LONG",H127+J127,I127-J127))</f>
        <v/>
      </c>
      <c r="L127" s="7" t="n"/>
      <c r="M127" s="8">
        <f>IF($E127="","",IF($E127="LONG",K127-O127,K127+O127))</f>
        <v/>
      </c>
      <c r="N127" s="7" t="n"/>
      <c r="O127" s="8">
        <f>IF(OR($E127="",AP127=""),"",ROUNDUP(ROUND(MAX(IF($E127="LONG",K127-I127,H127-K127),Settings!$B$9*AP127),6),2))</f>
        <v/>
      </c>
      <c r="P127" s="8">
        <f>IF($E127="","",N127*Settings!$B$4)</f>
        <v/>
      </c>
      <c r="Q127" s="9">
        <f>IF(O127="","",MIN(INT(ROUND(P127/O127,6)),INT(ROUND(Settings!$B$5/K127,6))))</f>
        <v/>
      </c>
      <c r="R127" s="8">
        <f>IF(O127="","",Q127*O127)</f>
        <v/>
      </c>
      <c r="S127" s="8">
        <f>IF(O127="","",IF($E127="LONG",K127+Settings!$B$6*O127,K127-Settings!$B$6*O127))</f>
        <v/>
      </c>
      <c r="T127" s="7" t="n"/>
      <c r="V127" s="8">
        <f>IF(OR($E127="",T127=""),"",IF($E127="LONG",(T127-L127)*Q127,(L127-T127)*Q127))</f>
        <v/>
      </c>
      <c r="W127" s="10">
        <f>IF(V127="","",V127/N127)</f>
        <v/>
      </c>
      <c r="X127" s="11">
        <f>IF(V127="","",V127/R127)</f>
        <v/>
      </c>
      <c r="Y127" s="8">
        <f>IF(OR($E127="",L127=""),"",IF($E127="LONG",L127-K127,K127-L127))</f>
        <v/>
      </c>
      <c r="AP127" s="7" t="n"/>
    </row>
    <row r="128">
      <c r="H128" s="7" t="n"/>
      <c r="I128" s="7" t="n"/>
      <c r="J128" s="8">
        <f>IF($E128="","",MAX(Settings!$B$7,ROUND(Settings!$B$8*IF($E128="LONG",H128,I128),2)))</f>
        <v/>
      </c>
      <c r="K128" s="8">
        <f>IF($E128="","",IF($E128="LONG",H128+J128,I128-J128))</f>
        <v/>
      </c>
      <c r="L128" s="7" t="n"/>
      <c r="M128" s="8">
        <f>IF($E128="","",IF($E128="LONG",K128-O128,K128+O128))</f>
        <v/>
      </c>
      <c r="N128" s="7" t="n"/>
      <c r="O128" s="8">
        <f>IF(OR($E128="",AP128=""),"",ROUNDUP(ROUND(MAX(IF($E128="LONG",K128-I128,H128-K128),Settings!$B$9*AP128),6),2))</f>
        <v/>
      </c>
      <c r="P128" s="8">
        <f>IF($E128="","",N128*Settings!$B$4)</f>
        <v/>
      </c>
      <c r="Q128" s="9">
        <f>IF(O128="","",MIN(INT(ROUND(P128/O128,6)),INT(ROUND(Settings!$B$5/K128,6))))</f>
        <v/>
      </c>
      <c r="R128" s="8">
        <f>IF(O128="","",Q128*O128)</f>
        <v/>
      </c>
      <c r="S128" s="8">
        <f>IF(O128="","",IF($E128="LONG",K128+Settings!$B$6*O128,K128-Settings!$B$6*O128))</f>
        <v/>
      </c>
      <c r="T128" s="7" t="n"/>
      <c r="V128" s="8">
        <f>IF(OR($E128="",T128=""),"",IF($E128="LONG",(T128-L128)*Q128,(L128-T128)*Q128))</f>
        <v/>
      </c>
      <c r="W128" s="10">
        <f>IF(V128="","",V128/N128)</f>
        <v/>
      </c>
      <c r="X128" s="11">
        <f>IF(V128="","",V128/R128)</f>
        <v/>
      </c>
      <c r="Y128" s="8">
        <f>IF(OR($E128="",L128=""),"",IF($E128="LONG",L128-K128,K128-L128))</f>
        <v/>
      </c>
      <c r="AP128" s="7" t="n"/>
    </row>
    <row r="129">
      <c r="H129" s="7" t="n"/>
      <c r="I129" s="7" t="n"/>
      <c r="J129" s="8">
        <f>IF($E129="","",MAX(Settings!$B$7,ROUND(Settings!$B$8*IF($E129="LONG",H129,I129),2)))</f>
        <v/>
      </c>
      <c r="K129" s="8">
        <f>IF($E129="","",IF($E129="LONG",H129+J129,I129-J129))</f>
        <v/>
      </c>
      <c r="L129" s="7" t="n"/>
      <c r="M129" s="8">
        <f>IF($E129="","",IF($E129="LONG",K129-O129,K129+O129))</f>
        <v/>
      </c>
      <c r="N129" s="7" t="n"/>
      <c r="O129" s="8">
        <f>IF(OR($E129="",AP129=""),"",ROUNDUP(ROUND(MAX(IF($E129="LONG",K129-I129,H129-K129),Settings!$B$9*AP129),6),2))</f>
        <v/>
      </c>
      <c r="P129" s="8">
        <f>IF($E129="","",N129*Settings!$B$4)</f>
        <v/>
      </c>
      <c r="Q129" s="9">
        <f>IF(O129="","",MIN(INT(ROUND(P129/O129,6)),INT(ROUND(Settings!$B$5/K129,6))))</f>
        <v/>
      </c>
      <c r="R129" s="8">
        <f>IF(O129="","",Q129*O129)</f>
        <v/>
      </c>
      <c r="S129" s="8">
        <f>IF(O129="","",IF($E129="LONG",K129+Settings!$B$6*O129,K129-Settings!$B$6*O129))</f>
        <v/>
      </c>
      <c r="T129" s="7" t="n"/>
      <c r="V129" s="8">
        <f>IF(OR($E129="",T129=""),"",IF($E129="LONG",(T129-L129)*Q129,(L129-T129)*Q129))</f>
        <v/>
      </c>
      <c r="W129" s="10">
        <f>IF(V129="","",V129/N129)</f>
        <v/>
      </c>
      <c r="X129" s="11">
        <f>IF(V129="","",V129/R129)</f>
        <v/>
      </c>
      <c r="Y129" s="8">
        <f>IF(OR($E129="",L129=""),"",IF($E129="LONG",L129-K129,K129-L129))</f>
        <v/>
      </c>
      <c r="AP129" s="7" t="n"/>
    </row>
    <row r="130">
      <c r="H130" s="7" t="n"/>
      <c r="I130" s="7" t="n"/>
      <c r="J130" s="8">
        <f>IF($E130="","",MAX(Settings!$B$7,ROUND(Settings!$B$8*IF($E130="LONG",H130,I130),2)))</f>
        <v/>
      </c>
      <c r="K130" s="8">
        <f>IF($E130="","",IF($E130="LONG",H130+J130,I130-J130))</f>
        <v/>
      </c>
      <c r="L130" s="7" t="n"/>
      <c r="M130" s="8">
        <f>IF($E130="","",IF($E130="LONG",K130-O130,K130+O130))</f>
        <v/>
      </c>
      <c r="N130" s="7" t="n"/>
      <c r="O130" s="8">
        <f>IF(OR($E130="",AP130=""),"",ROUNDUP(ROUND(MAX(IF($E130="LONG",K130-I130,H130-K130),Settings!$B$9*AP130),6),2))</f>
        <v/>
      </c>
      <c r="P130" s="8">
        <f>IF($E130="","",N130*Settings!$B$4)</f>
        <v/>
      </c>
      <c r="Q130" s="9">
        <f>IF(O130="","",MIN(INT(ROUND(P130/O130,6)),INT(ROUND(Settings!$B$5/K130,6))))</f>
        <v/>
      </c>
      <c r="R130" s="8">
        <f>IF(O130="","",Q130*O130)</f>
        <v/>
      </c>
      <c r="S130" s="8">
        <f>IF(O130="","",IF($E130="LONG",K130+Settings!$B$6*O130,K130-Settings!$B$6*O130))</f>
        <v/>
      </c>
      <c r="T130" s="7" t="n"/>
      <c r="V130" s="8">
        <f>IF(OR($E130="",T130=""),"",IF($E130="LONG",(T130-L130)*Q130,(L130-T130)*Q130))</f>
        <v/>
      </c>
      <c r="W130" s="10">
        <f>IF(V130="","",V130/N130)</f>
        <v/>
      </c>
      <c r="X130" s="11">
        <f>IF(V130="","",V130/R130)</f>
        <v/>
      </c>
      <c r="Y130" s="8">
        <f>IF(OR($E130="",L130=""),"",IF($E130="LONG",L130-K130,K130-L130))</f>
        <v/>
      </c>
      <c r="AP130" s="7" t="n"/>
    </row>
    <row r="131">
      <c r="H131" s="7" t="n"/>
      <c r="I131" s="7" t="n"/>
      <c r="J131" s="8">
        <f>IF($E131="","",MAX(Settings!$B$7,ROUND(Settings!$B$8*IF($E131="LONG",H131,I131),2)))</f>
        <v/>
      </c>
      <c r="K131" s="8">
        <f>IF($E131="","",IF($E131="LONG",H131+J131,I131-J131))</f>
        <v/>
      </c>
      <c r="L131" s="7" t="n"/>
      <c r="M131" s="8">
        <f>IF($E131="","",IF($E131="LONG",K131-O131,K131+O131))</f>
        <v/>
      </c>
      <c r="N131" s="7" t="n"/>
      <c r="O131" s="8">
        <f>IF(OR($E131="",AP131=""),"",ROUNDUP(ROUND(MAX(IF($E131="LONG",K131-I131,H131-K131),Settings!$B$9*AP131),6),2))</f>
        <v/>
      </c>
      <c r="P131" s="8">
        <f>IF($E131="","",N131*Settings!$B$4)</f>
        <v/>
      </c>
      <c r="Q131" s="9">
        <f>IF(O131="","",MIN(INT(ROUND(P131/O131,6)),INT(ROUND(Settings!$B$5/K131,6))))</f>
        <v/>
      </c>
      <c r="R131" s="8">
        <f>IF(O131="","",Q131*O131)</f>
        <v/>
      </c>
      <c r="S131" s="8">
        <f>IF(O131="","",IF($E131="LONG",K131+Settings!$B$6*O131,K131-Settings!$B$6*O131))</f>
        <v/>
      </c>
      <c r="T131" s="7" t="n"/>
      <c r="V131" s="8">
        <f>IF(OR($E131="",T131=""),"",IF($E131="LONG",(T131-L131)*Q131,(L131-T131)*Q131))</f>
        <v/>
      </c>
      <c r="W131" s="10">
        <f>IF(V131="","",V131/N131)</f>
        <v/>
      </c>
      <c r="X131" s="11">
        <f>IF(V131="","",V131/R131)</f>
        <v/>
      </c>
      <c r="Y131" s="8">
        <f>IF(OR($E131="",L131=""),"",IF($E131="LONG",L131-K131,K131-L131))</f>
        <v/>
      </c>
      <c r="AP131" s="7" t="n"/>
    </row>
    <row r="132">
      <c r="H132" s="7" t="n"/>
      <c r="I132" s="7" t="n"/>
      <c r="J132" s="8">
        <f>IF($E132="","",MAX(Settings!$B$7,ROUND(Settings!$B$8*IF($E132="LONG",H132,I132),2)))</f>
        <v/>
      </c>
      <c r="K132" s="8">
        <f>IF($E132="","",IF($E132="LONG",H132+J132,I132-J132))</f>
        <v/>
      </c>
      <c r="L132" s="7" t="n"/>
      <c r="M132" s="8">
        <f>IF($E132="","",IF($E132="LONG",K132-O132,K132+O132))</f>
        <v/>
      </c>
      <c r="N132" s="7" t="n"/>
      <c r="O132" s="8">
        <f>IF(OR($E132="",AP132=""),"",ROUNDUP(ROUND(MAX(IF($E132="LONG",K132-I132,H132-K132),Settings!$B$9*AP132),6),2))</f>
        <v/>
      </c>
      <c r="P132" s="8">
        <f>IF($E132="","",N132*Settings!$B$4)</f>
        <v/>
      </c>
      <c r="Q132" s="9">
        <f>IF(O132="","",MIN(INT(ROUND(P132/O132,6)),INT(ROUND(Settings!$B$5/K132,6))))</f>
        <v/>
      </c>
      <c r="R132" s="8">
        <f>IF(O132="","",Q132*O132)</f>
        <v/>
      </c>
      <c r="S132" s="8">
        <f>IF(O132="","",IF($E132="LONG",K132+Settings!$B$6*O132,K132-Settings!$B$6*O132))</f>
        <v/>
      </c>
      <c r="T132" s="7" t="n"/>
      <c r="V132" s="8">
        <f>IF(OR($E132="",T132=""),"",IF($E132="LONG",(T132-L132)*Q132,(L132-T132)*Q132))</f>
        <v/>
      </c>
      <c r="W132" s="10">
        <f>IF(V132="","",V132/N132)</f>
        <v/>
      </c>
      <c r="X132" s="11">
        <f>IF(V132="","",V132/R132)</f>
        <v/>
      </c>
      <c r="Y132" s="8">
        <f>IF(OR($E132="",L132=""),"",IF($E132="LONG",L132-K132,K132-L132))</f>
        <v/>
      </c>
      <c r="AP132" s="7" t="n"/>
    </row>
    <row r="133">
      <c r="H133" s="7" t="n"/>
      <c r="I133" s="7" t="n"/>
      <c r="J133" s="8">
        <f>IF($E133="","",MAX(Settings!$B$7,ROUND(Settings!$B$8*IF($E133="LONG",H133,I133),2)))</f>
        <v/>
      </c>
      <c r="K133" s="8">
        <f>IF($E133="","",IF($E133="LONG",H133+J133,I133-J133))</f>
        <v/>
      </c>
      <c r="L133" s="7" t="n"/>
      <c r="M133" s="8">
        <f>IF($E133="","",IF($E133="LONG",K133-O133,K133+O133))</f>
        <v/>
      </c>
      <c r="N133" s="7" t="n"/>
      <c r="O133" s="8">
        <f>IF(OR($E133="",AP133=""),"",ROUNDUP(ROUND(MAX(IF($E133="LONG",K133-I133,H133-K133),Settings!$B$9*AP133),6),2))</f>
        <v/>
      </c>
      <c r="P133" s="8">
        <f>IF($E133="","",N133*Settings!$B$4)</f>
        <v/>
      </c>
      <c r="Q133" s="9">
        <f>IF(O133="","",MIN(INT(ROUND(P133/O133,6)),INT(ROUND(Settings!$B$5/K133,6))))</f>
        <v/>
      </c>
      <c r="R133" s="8">
        <f>IF(O133="","",Q133*O133)</f>
        <v/>
      </c>
      <c r="S133" s="8">
        <f>IF(O133="","",IF($E133="LONG",K133+Settings!$B$6*O133,K133-Settings!$B$6*O133))</f>
        <v/>
      </c>
      <c r="T133" s="7" t="n"/>
      <c r="V133" s="8">
        <f>IF(OR($E133="",T133=""),"",IF($E133="LONG",(T133-L133)*Q133,(L133-T133)*Q133))</f>
        <v/>
      </c>
      <c r="W133" s="10">
        <f>IF(V133="","",V133/N133)</f>
        <v/>
      </c>
      <c r="X133" s="11">
        <f>IF(V133="","",V133/R133)</f>
        <v/>
      </c>
      <c r="Y133" s="8">
        <f>IF(OR($E133="",L133=""),"",IF($E133="LONG",L133-K133,K133-L133))</f>
        <v/>
      </c>
      <c r="AP133" s="7" t="n"/>
    </row>
    <row r="134">
      <c r="H134" s="7" t="n"/>
      <c r="I134" s="7" t="n"/>
      <c r="J134" s="8">
        <f>IF($E134="","",MAX(Settings!$B$7,ROUND(Settings!$B$8*IF($E134="LONG",H134,I134),2)))</f>
        <v/>
      </c>
      <c r="K134" s="8">
        <f>IF($E134="","",IF($E134="LONG",H134+J134,I134-J134))</f>
        <v/>
      </c>
      <c r="L134" s="7" t="n"/>
      <c r="M134" s="8">
        <f>IF($E134="","",IF($E134="LONG",K134-O134,K134+O134))</f>
        <v/>
      </c>
      <c r="N134" s="7" t="n"/>
      <c r="O134" s="8">
        <f>IF(OR($E134="",AP134=""),"",ROUNDUP(ROUND(MAX(IF($E134="LONG",K134-I134,H134-K134),Settings!$B$9*AP134),6),2))</f>
        <v/>
      </c>
      <c r="P134" s="8">
        <f>IF($E134="","",N134*Settings!$B$4)</f>
        <v/>
      </c>
      <c r="Q134" s="9">
        <f>IF(O134="","",MIN(INT(ROUND(P134/O134,6)),INT(ROUND(Settings!$B$5/K134,6))))</f>
        <v/>
      </c>
      <c r="R134" s="8">
        <f>IF(O134="","",Q134*O134)</f>
        <v/>
      </c>
      <c r="S134" s="8">
        <f>IF(O134="","",IF($E134="LONG",K134+Settings!$B$6*O134,K134-Settings!$B$6*O134))</f>
        <v/>
      </c>
      <c r="T134" s="7" t="n"/>
      <c r="V134" s="8">
        <f>IF(OR($E134="",T134=""),"",IF($E134="LONG",(T134-L134)*Q134,(L134-T134)*Q134))</f>
        <v/>
      </c>
      <c r="W134" s="10">
        <f>IF(V134="","",V134/N134)</f>
        <v/>
      </c>
      <c r="X134" s="11">
        <f>IF(V134="","",V134/R134)</f>
        <v/>
      </c>
      <c r="Y134" s="8">
        <f>IF(OR($E134="",L134=""),"",IF($E134="LONG",L134-K134,K134-L134))</f>
        <v/>
      </c>
      <c r="AP134" s="7" t="n"/>
    </row>
    <row r="135">
      <c r="H135" s="7" t="n"/>
      <c r="I135" s="7" t="n"/>
      <c r="J135" s="8">
        <f>IF($E135="","",MAX(Settings!$B$7,ROUND(Settings!$B$8*IF($E135="LONG",H135,I135),2)))</f>
        <v/>
      </c>
      <c r="K135" s="8">
        <f>IF($E135="","",IF($E135="LONG",H135+J135,I135-J135))</f>
        <v/>
      </c>
      <c r="L135" s="7" t="n"/>
      <c r="M135" s="8">
        <f>IF($E135="","",IF($E135="LONG",K135-O135,K135+O135))</f>
        <v/>
      </c>
      <c r="N135" s="7" t="n"/>
      <c r="O135" s="8">
        <f>IF(OR($E135="",AP135=""),"",ROUNDUP(ROUND(MAX(IF($E135="LONG",K135-I135,H135-K135),Settings!$B$9*AP135),6),2))</f>
        <v/>
      </c>
      <c r="P135" s="8">
        <f>IF($E135="","",N135*Settings!$B$4)</f>
        <v/>
      </c>
      <c r="Q135" s="9">
        <f>IF(O135="","",MIN(INT(ROUND(P135/O135,6)),INT(ROUND(Settings!$B$5/K135,6))))</f>
        <v/>
      </c>
      <c r="R135" s="8">
        <f>IF(O135="","",Q135*O135)</f>
        <v/>
      </c>
      <c r="S135" s="8">
        <f>IF(O135="","",IF($E135="LONG",K135+Settings!$B$6*O135,K135-Settings!$B$6*O135))</f>
        <v/>
      </c>
      <c r="T135" s="7" t="n"/>
      <c r="V135" s="8">
        <f>IF(OR($E135="",T135=""),"",IF($E135="LONG",(T135-L135)*Q135,(L135-T135)*Q135))</f>
        <v/>
      </c>
      <c r="W135" s="10">
        <f>IF(V135="","",V135/N135)</f>
        <v/>
      </c>
      <c r="X135" s="11">
        <f>IF(V135="","",V135/R135)</f>
        <v/>
      </c>
      <c r="Y135" s="8">
        <f>IF(OR($E135="",L135=""),"",IF($E135="LONG",L135-K135,K135-L135))</f>
        <v/>
      </c>
      <c r="AP135" s="7" t="n"/>
    </row>
    <row r="136">
      <c r="H136" s="7" t="n"/>
      <c r="I136" s="7" t="n"/>
      <c r="J136" s="8">
        <f>IF($E136="","",MAX(Settings!$B$7,ROUND(Settings!$B$8*IF($E136="LONG",H136,I136),2)))</f>
        <v/>
      </c>
      <c r="K136" s="8">
        <f>IF($E136="","",IF($E136="LONG",H136+J136,I136-J136))</f>
        <v/>
      </c>
      <c r="L136" s="7" t="n"/>
      <c r="M136" s="8">
        <f>IF($E136="","",IF($E136="LONG",K136-O136,K136+O136))</f>
        <v/>
      </c>
      <c r="N136" s="7" t="n"/>
      <c r="O136" s="8">
        <f>IF(OR($E136="",AP136=""),"",ROUNDUP(ROUND(MAX(IF($E136="LONG",K136-I136,H136-K136),Settings!$B$9*AP136),6),2))</f>
        <v/>
      </c>
      <c r="P136" s="8">
        <f>IF($E136="","",N136*Settings!$B$4)</f>
        <v/>
      </c>
      <c r="Q136" s="9">
        <f>IF(O136="","",MIN(INT(ROUND(P136/O136,6)),INT(ROUND(Settings!$B$5/K136,6))))</f>
        <v/>
      </c>
      <c r="R136" s="8">
        <f>IF(O136="","",Q136*O136)</f>
        <v/>
      </c>
      <c r="S136" s="8">
        <f>IF(O136="","",IF($E136="LONG",K136+Settings!$B$6*O136,K136-Settings!$B$6*O136))</f>
        <v/>
      </c>
      <c r="T136" s="7" t="n"/>
      <c r="V136" s="8">
        <f>IF(OR($E136="",T136=""),"",IF($E136="LONG",(T136-L136)*Q136,(L136-T136)*Q136))</f>
        <v/>
      </c>
      <c r="W136" s="10">
        <f>IF(V136="","",V136/N136)</f>
        <v/>
      </c>
      <c r="X136" s="11">
        <f>IF(V136="","",V136/R136)</f>
        <v/>
      </c>
      <c r="Y136" s="8">
        <f>IF(OR($E136="",L136=""),"",IF($E136="LONG",L136-K136,K136-L136))</f>
        <v/>
      </c>
      <c r="AP136" s="7" t="n"/>
    </row>
    <row r="137">
      <c r="H137" s="7" t="n"/>
      <c r="I137" s="7" t="n"/>
      <c r="J137" s="8">
        <f>IF($E137="","",MAX(Settings!$B$7,ROUND(Settings!$B$8*IF($E137="LONG",H137,I137),2)))</f>
        <v/>
      </c>
      <c r="K137" s="8">
        <f>IF($E137="","",IF($E137="LONG",H137+J137,I137-J137))</f>
        <v/>
      </c>
      <c r="L137" s="7" t="n"/>
      <c r="M137" s="8">
        <f>IF($E137="","",IF($E137="LONG",K137-O137,K137+O137))</f>
        <v/>
      </c>
      <c r="N137" s="7" t="n"/>
      <c r="O137" s="8">
        <f>IF(OR($E137="",AP137=""),"",ROUNDUP(ROUND(MAX(IF($E137="LONG",K137-I137,H137-K137),Settings!$B$9*AP137),6),2))</f>
        <v/>
      </c>
      <c r="P137" s="8">
        <f>IF($E137="","",N137*Settings!$B$4)</f>
        <v/>
      </c>
      <c r="Q137" s="9">
        <f>IF(O137="","",MIN(INT(ROUND(P137/O137,6)),INT(ROUND(Settings!$B$5/K137,6))))</f>
        <v/>
      </c>
      <c r="R137" s="8">
        <f>IF(O137="","",Q137*O137)</f>
        <v/>
      </c>
      <c r="S137" s="8">
        <f>IF(O137="","",IF($E137="LONG",K137+Settings!$B$6*O137,K137-Settings!$B$6*O137))</f>
        <v/>
      </c>
      <c r="T137" s="7" t="n"/>
      <c r="V137" s="8">
        <f>IF(OR($E137="",T137=""),"",IF($E137="LONG",(T137-L137)*Q137,(L137-T137)*Q137))</f>
        <v/>
      </c>
      <c r="W137" s="10">
        <f>IF(V137="","",V137/N137)</f>
        <v/>
      </c>
      <c r="X137" s="11">
        <f>IF(V137="","",V137/R137)</f>
        <v/>
      </c>
      <c r="Y137" s="8">
        <f>IF(OR($E137="",L137=""),"",IF($E137="LONG",L137-K137,K137-L137))</f>
        <v/>
      </c>
      <c r="AP137" s="7" t="n"/>
    </row>
    <row r="138">
      <c r="H138" s="7" t="n"/>
      <c r="I138" s="7" t="n"/>
      <c r="J138" s="8">
        <f>IF($E138="","",MAX(Settings!$B$7,ROUND(Settings!$B$8*IF($E138="LONG",H138,I138),2)))</f>
        <v/>
      </c>
      <c r="K138" s="8">
        <f>IF($E138="","",IF($E138="LONG",H138+J138,I138-J138))</f>
        <v/>
      </c>
      <c r="L138" s="7" t="n"/>
      <c r="M138" s="8">
        <f>IF($E138="","",IF($E138="LONG",K138-O138,K138+O138))</f>
        <v/>
      </c>
      <c r="N138" s="7" t="n"/>
      <c r="O138" s="8">
        <f>IF(OR($E138="",AP138=""),"",ROUNDUP(ROUND(MAX(IF($E138="LONG",K138-I138,H138-K138),Settings!$B$9*AP138),6),2))</f>
        <v/>
      </c>
      <c r="P138" s="8">
        <f>IF($E138="","",N138*Settings!$B$4)</f>
        <v/>
      </c>
      <c r="Q138" s="9">
        <f>IF(O138="","",MIN(INT(ROUND(P138/O138,6)),INT(ROUND(Settings!$B$5/K138,6))))</f>
        <v/>
      </c>
      <c r="R138" s="8">
        <f>IF(O138="","",Q138*O138)</f>
        <v/>
      </c>
      <c r="S138" s="8">
        <f>IF(O138="","",IF($E138="LONG",K138+Settings!$B$6*O138,K138-Settings!$B$6*O138))</f>
        <v/>
      </c>
      <c r="T138" s="7" t="n"/>
      <c r="V138" s="8">
        <f>IF(OR($E138="",T138=""),"",IF($E138="LONG",(T138-L138)*Q138,(L138-T138)*Q138))</f>
        <v/>
      </c>
      <c r="W138" s="10">
        <f>IF(V138="","",V138/N138)</f>
        <v/>
      </c>
      <c r="X138" s="11">
        <f>IF(V138="","",V138/R138)</f>
        <v/>
      </c>
      <c r="Y138" s="8">
        <f>IF(OR($E138="",L138=""),"",IF($E138="LONG",L138-K138,K138-L138))</f>
        <v/>
      </c>
      <c r="AP138" s="7" t="n"/>
    </row>
    <row r="139">
      <c r="H139" s="7" t="n"/>
      <c r="I139" s="7" t="n"/>
      <c r="J139" s="8">
        <f>IF($E139="","",MAX(Settings!$B$7,ROUND(Settings!$B$8*IF($E139="LONG",H139,I139),2)))</f>
        <v/>
      </c>
      <c r="K139" s="8">
        <f>IF($E139="","",IF($E139="LONG",H139+J139,I139-J139))</f>
        <v/>
      </c>
      <c r="L139" s="7" t="n"/>
      <c r="M139" s="8">
        <f>IF($E139="","",IF($E139="LONG",K139-O139,K139+O139))</f>
        <v/>
      </c>
      <c r="N139" s="7" t="n"/>
      <c r="O139" s="8">
        <f>IF(OR($E139="",AP139=""),"",ROUNDUP(ROUND(MAX(IF($E139="LONG",K139-I139,H139-K139),Settings!$B$9*AP139),6),2))</f>
        <v/>
      </c>
      <c r="P139" s="8">
        <f>IF($E139="","",N139*Settings!$B$4)</f>
        <v/>
      </c>
      <c r="Q139" s="9">
        <f>IF(O139="","",MIN(INT(ROUND(P139/O139,6)),INT(ROUND(Settings!$B$5/K139,6))))</f>
        <v/>
      </c>
      <c r="R139" s="8">
        <f>IF(O139="","",Q139*O139)</f>
        <v/>
      </c>
      <c r="S139" s="8">
        <f>IF(O139="","",IF($E139="LONG",K139+Settings!$B$6*O139,K139-Settings!$B$6*O139))</f>
        <v/>
      </c>
      <c r="T139" s="7" t="n"/>
      <c r="V139" s="8">
        <f>IF(OR($E139="",T139=""),"",IF($E139="LONG",(T139-L139)*Q139,(L139-T139)*Q139))</f>
        <v/>
      </c>
      <c r="W139" s="10">
        <f>IF(V139="","",V139/N139)</f>
        <v/>
      </c>
      <c r="X139" s="11">
        <f>IF(V139="","",V139/R139)</f>
        <v/>
      </c>
      <c r="Y139" s="8">
        <f>IF(OR($E139="",L139=""),"",IF($E139="LONG",L139-K139,K139-L139))</f>
        <v/>
      </c>
      <c r="AP139" s="7" t="n"/>
    </row>
    <row r="140">
      <c r="H140" s="7" t="n"/>
      <c r="I140" s="7" t="n"/>
      <c r="J140" s="8">
        <f>IF($E140="","",MAX(Settings!$B$7,ROUND(Settings!$B$8*IF($E140="LONG",H140,I140),2)))</f>
        <v/>
      </c>
      <c r="K140" s="8">
        <f>IF($E140="","",IF($E140="LONG",H140+J140,I140-J140))</f>
        <v/>
      </c>
      <c r="L140" s="7" t="n"/>
      <c r="M140" s="8">
        <f>IF($E140="","",IF($E140="LONG",K140-O140,K140+O140))</f>
        <v/>
      </c>
      <c r="N140" s="7" t="n"/>
      <c r="O140" s="8">
        <f>IF(OR($E140="",AP140=""),"",ROUNDUP(ROUND(MAX(IF($E140="LONG",K140-I140,H140-K140),Settings!$B$9*AP140),6),2))</f>
        <v/>
      </c>
      <c r="P140" s="8">
        <f>IF($E140="","",N140*Settings!$B$4)</f>
        <v/>
      </c>
      <c r="Q140" s="9">
        <f>IF(O140="","",MIN(INT(ROUND(P140/O140,6)),INT(ROUND(Settings!$B$5/K140,6))))</f>
        <v/>
      </c>
      <c r="R140" s="8">
        <f>IF(O140="","",Q140*O140)</f>
        <v/>
      </c>
      <c r="S140" s="8">
        <f>IF(O140="","",IF($E140="LONG",K140+Settings!$B$6*O140,K140-Settings!$B$6*O140))</f>
        <v/>
      </c>
      <c r="T140" s="7" t="n"/>
      <c r="V140" s="8">
        <f>IF(OR($E140="",T140=""),"",IF($E140="LONG",(T140-L140)*Q140,(L140-T140)*Q140))</f>
        <v/>
      </c>
      <c r="W140" s="10">
        <f>IF(V140="","",V140/N140)</f>
        <v/>
      </c>
      <c r="X140" s="11">
        <f>IF(V140="","",V140/R140)</f>
        <v/>
      </c>
      <c r="Y140" s="8">
        <f>IF(OR($E140="",L140=""),"",IF($E140="LONG",L140-K140,K140-L140))</f>
        <v/>
      </c>
      <c r="AP140" s="7" t="n"/>
    </row>
    <row r="141">
      <c r="H141" s="7" t="n"/>
      <c r="I141" s="7" t="n"/>
      <c r="J141" s="8">
        <f>IF($E141="","",MAX(Settings!$B$7,ROUND(Settings!$B$8*IF($E141="LONG",H141,I141),2)))</f>
        <v/>
      </c>
      <c r="K141" s="8">
        <f>IF($E141="","",IF($E141="LONG",H141+J141,I141-J141))</f>
        <v/>
      </c>
      <c r="L141" s="7" t="n"/>
      <c r="M141" s="8">
        <f>IF($E141="","",IF($E141="LONG",K141-O141,K141+O141))</f>
        <v/>
      </c>
      <c r="N141" s="7" t="n"/>
      <c r="O141" s="8">
        <f>IF(OR($E141="",AP141=""),"",ROUNDUP(ROUND(MAX(IF($E141="LONG",K141-I141,H141-K141),Settings!$B$9*AP141),6),2))</f>
        <v/>
      </c>
      <c r="P141" s="8">
        <f>IF($E141="","",N141*Settings!$B$4)</f>
        <v/>
      </c>
      <c r="Q141" s="9">
        <f>IF(O141="","",MIN(INT(ROUND(P141/O141,6)),INT(ROUND(Settings!$B$5/K141,6))))</f>
        <v/>
      </c>
      <c r="R141" s="8">
        <f>IF(O141="","",Q141*O141)</f>
        <v/>
      </c>
      <c r="S141" s="8">
        <f>IF(O141="","",IF($E141="LONG",K141+Settings!$B$6*O141,K141-Settings!$B$6*O141))</f>
        <v/>
      </c>
      <c r="T141" s="7" t="n"/>
      <c r="V141" s="8">
        <f>IF(OR($E141="",T141=""),"",IF($E141="LONG",(T141-L141)*Q141,(L141-T141)*Q141))</f>
        <v/>
      </c>
      <c r="W141" s="10">
        <f>IF(V141="","",V141/N141)</f>
        <v/>
      </c>
      <c r="X141" s="11">
        <f>IF(V141="","",V141/R141)</f>
        <v/>
      </c>
      <c r="Y141" s="8">
        <f>IF(OR($E141="",L141=""),"",IF($E141="LONG",L141-K141,K141-L141))</f>
        <v/>
      </c>
      <c r="AP141" s="7" t="n"/>
    </row>
    <row r="142">
      <c r="H142" s="7" t="n"/>
      <c r="I142" s="7" t="n"/>
      <c r="J142" s="8">
        <f>IF($E142="","",MAX(Settings!$B$7,ROUND(Settings!$B$8*IF($E142="LONG",H142,I142),2)))</f>
        <v/>
      </c>
      <c r="K142" s="8">
        <f>IF($E142="","",IF($E142="LONG",H142+J142,I142-J142))</f>
        <v/>
      </c>
      <c r="L142" s="7" t="n"/>
      <c r="M142" s="8">
        <f>IF($E142="","",IF($E142="LONG",K142-O142,K142+O142))</f>
        <v/>
      </c>
      <c r="N142" s="7" t="n"/>
      <c r="O142" s="8">
        <f>IF(OR($E142="",AP142=""),"",ROUNDUP(ROUND(MAX(IF($E142="LONG",K142-I142,H142-K142),Settings!$B$9*AP142),6),2))</f>
        <v/>
      </c>
      <c r="P142" s="8">
        <f>IF($E142="","",N142*Settings!$B$4)</f>
        <v/>
      </c>
      <c r="Q142" s="9">
        <f>IF(O142="","",MIN(INT(ROUND(P142/O142,6)),INT(ROUND(Settings!$B$5/K142,6))))</f>
        <v/>
      </c>
      <c r="R142" s="8">
        <f>IF(O142="","",Q142*O142)</f>
        <v/>
      </c>
      <c r="S142" s="8">
        <f>IF(O142="","",IF($E142="LONG",K142+Settings!$B$6*O142,K142-Settings!$B$6*O142))</f>
        <v/>
      </c>
      <c r="T142" s="7" t="n"/>
      <c r="V142" s="8">
        <f>IF(OR($E142="",T142=""),"",IF($E142="LONG",(T142-L142)*Q142,(L142-T142)*Q142))</f>
        <v/>
      </c>
      <c r="W142" s="10">
        <f>IF(V142="","",V142/N142)</f>
        <v/>
      </c>
      <c r="X142" s="11">
        <f>IF(V142="","",V142/R142)</f>
        <v/>
      </c>
      <c r="Y142" s="8">
        <f>IF(OR($E142="",L142=""),"",IF($E142="LONG",L142-K142,K142-L142))</f>
        <v/>
      </c>
      <c r="AP142" s="7" t="n"/>
    </row>
    <row r="143">
      <c r="H143" s="7" t="n"/>
      <c r="I143" s="7" t="n"/>
      <c r="J143" s="8">
        <f>IF($E143="","",MAX(Settings!$B$7,ROUND(Settings!$B$8*IF($E143="LONG",H143,I143),2)))</f>
        <v/>
      </c>
      <c r="K143" s="8">
        <f>IF($E143="","",IF($E143="LONG",H143+J143,I143-J143))</f>
        <v/>
      </c>
      <c r="L143" s="7" t="n"/>
      <c r="M143" s="8">
        <f>IF($E143="","",IF($E143="LONG",K143-O143,K143+O143))</f>
        <v/>
      </c>
      <c r="N143" s="7" t="n"/>
      <c r="O143" s="8">
        <f>IF(OR($E143="",AP143=""),"",ROUNDUP(ROUND(MAX(IF($E143="LONG",K143-I143,H143-K143),Settings!$B$9*AP143),6),2))</f>
        <v/>
      </c>
      <c r="P143" s="8">
        <f>IF($E143="","",N143*Settings!$B$4)</f>
        <v/>
      </c>
      <c r="Q143" s="9">
        <f>IF(O143="","",MIN(INT(ROUND(P143/O143,6)),INT(ROUND(Settings!$B$5/K143,6))))</f>
        <v/>
      </c>
      <c r="R143" s="8">
        <f>IF(O143="","",Q143*O143)</f>
        <v/>
      </c>
      <c r="S143" s="8">
        <f>IF(O143="","",IF($E143="LONG",K143+Settings!$B$6*O143,K143-Settings!$B$6*O143))</f>
        <v/>
      </c>
      <c r="T143" s="7" t="n"/>
      <c r="V143" s="8">
        <f>IF(OR($E143="",T143=""),"",IF($E143="LONG",(T143-L143)*Q143,(L143-T143)*Q143))</f>
        <v/>
      </c>
      <c r="W143" s="10">
        <f>IF(V143="","",V143/N143)</f>
        <v/>
      </c>
      <c r="X143" s="11">
        <f>IF(V143="","",V143/R143)</f>
        <v/>
      </c>
      <c r="Y143" s="8">
        <f>IF(OR($E143="",L143=""),"",IF($E143="LONG",L143-K143,K143-L143))</f>
        <v/>
      </c>
      <c r="AP143" s="7" t="n"/>
    </row>
    <row r="144">
      <c r="H144" s="7" t="n"/>
      <c r="I144" s="7" t="n"/>
      <c r="J144" s="8">
        <f>IF($E144="","",MAX(Settings!$B$7,ROUND(Settings!$B$8*IF($E144="LONG",H144,I144),2)))</f>
        <v/>
      </c>
      <c r="K144" s="8">
        <f>IF($E144="","",IF($E144="LONG",H144+J144,I144-J144))</f>
        <v/>
      </c>
      <c r="L144" s="7" t="n"/>
      <c r="M144" s="8">
        <f>IF($E144="","",IF($E144="LONG",K144-O144,K144+O144))</f>
        <v/>
      </c>
      <c r="N144" s="7" t="n"/>
      <c r="O144" s="8">
        <f>IF(OR($E144="",AP144=""),"",ROUNDUP(ROUND(MAX(IF($E144="LONG",K144-I144,H144-K144),Settings!$B$9*AP144),6),2))</f>
        <v/>
      </c>
      <c r="P144" s="8">
        <f>IF($E144="","",N144*Settings!$B$4)</f>
        <v/>
      </c>
      <c r="Q144" s="9">
        <f>IF(O144="","",MIN(INT(ROUND(P144/O144,6)),INT(ROUND(Settings!$B$5/K144,6))))</f>
        <v/>
      </c>
      <c r="R144" s="8">
        <f>IF(O144="","",Q144*O144)</f>
        <v/>
      </c>
      <c r="S144" s="8">
        <f>IF(O144="","",IF($E144="LONG",K144+Settings!$B$6*O144,K144-Settings!$B$6*O144))</f>
        <v/>
      </c>
      <c r="T144" s="7" t="n"/>
      <c r="V144" s="8">
        <f>IF(OR($E144="",T144=""),"",IF($E144="LONG",(T144-L144)*Q144,(L144-T144)*Q144))</f>
        <v/>
      </c>
      <c r="W144" s="10">
        <f>IF(V144="","",V144/N144)</f>
        <v/>
      </c>
      <c r="X144" s="11">
        <f>IF(V144="","",V144/R144)</f>
        <v/>
      </c>
      <c r="Y144" s="8">
        <f>IF(OR($E144="",L144=""),"",IF($E144="LONG",L144-K144,K144-L144))</f>
        <v/>
      </c>
      <c r="AP144" s="7" t="n"/>
    </row>
    <row r="145">
      <c r="H145" s="7" t="n"/>
      <c r="I145" s="7" t="n"/>
      <c r="J145" s="8">
        <f>IF($E145="","",MAX(Settings!$B$7,ROUND(Settings!$B$8*IF($E145="LONG",H145,I145),2)))</f>
        <v/>
      </c>
      <c r="K145" s="8">
        <f>IF($E145="","",IF($E145="LONG",H145+J145,I145-J145))</f>
        <v/>
      </c>
      <c r="L145" s="7" t="n"/>
      <c r="M145" s="8">
        <f>IF($E145="","",IF($E145="LONG",K145-O145,K145+O145))</f>
        <v/>
      </c>
      <c r="N145" s="7" t="n"/>
      <c r="O145" s="8">
        <f>IF(OR($E145="",AP145=""),"",ROUNDUP(ROUND(MAX(IF($E145="LONG",K145-I145,H145-K145),Settings!$B$9*AP145),6),2))</f>
        <v/>
      </c>
      <c r="P145" s="8">
        <f>IF($E145="","",N145*Settings!$B$4)</f>
        <v/>
      </c>
      <c r="Q145" s="9">
        <f>IF(O145="","",MIN(INT(ROUND(P145/O145,6)),INT(ROUND(Settings!$B$5/K145,6))))</f>
        <v/>
      </c>
      <c r="R145" s="8">
        <f>IF(O145="","",Q145*O145)</f>
        <v/>
      </c>
      <c r="S145" s="8">
        <f>IF(O145="","",IF($E145="LONG",K145+Settings!$B$6*O145,K145-Settings!$B$6*O145))</f>
        <v/>
      </c>
      <c r="T145" s="7" t="n"/>
      <c r="V145" s="8">
        <f>IF(OR($E145="",T145=""),"",IF($E145="LONG",(T145-L145)*Q145,(L145-T145)*Q145))</f>
        <v/>
      </c>
      <c r="W145" s="10">
        <f>IF(V145="","",V145/N145)</f>
        <v/>
      </c>
      <c r="X145" s="11">
        <f>IF(V145="","",V145/R145)</f>
        <v/>
      </c>
      <c r="Y145" s="8">
        <f>IF(OR($E145="",L145=""),"",IF($E145="LONG",L145-K145,K145-L145))</f>
        <v/>
      </c>
      <c r="AP145" s="7" t="n"/>
    </row>
    <row r="146">
      <c r="H146" s="7" t="n"/>
      <c r="I146" s="7" t="n"/>
      <c r="J146" s="8">
        <f>IF($E146="","",MAX(Settings!$B$7,ROUND(Settings!$B$8*IF($E146="LONG",H146,I146),2)))</f>
        <v/>
      </c>
      <c r="K146" s="8">
        <f>IF($E146="","",IF($E146="LONG",H146+J146,I146-J146))</f>
        <v/>
      </c>
      <c r="L146" s="7" t="n"/>
      <c r="M146" s="8">
        <f>IF($E146="","",IF($E146="LONG",K146-O146,K146+O146))</f>
        <v/>
      </c>
      <c r="N146" s="7" t="n"/>
      <c r="O146" s="8">
        <f>IF(OR($E146="",AP146=""),"",ROUNDUP(ROUND(MAX(IF($E146="LONG",K146-I146,H146-K146),Settings!$B$9*AP146),6),2))</f>
        <v/>
      </c>
      <c r="P146" s="8">
        <f>IF($E146="","",N146*Settings!$B$4)</f>
        <v/>
      </c>
      <c r="Q146" s="9">
        <f>IF(O146="","",MIN(INT(ROUND(P146/O146,6)),INT(ROUND(Settings!$B$5/K146,6))))</f>
        <v/>
      </c>
      <c r="R146" s="8">
        <f>IF(O146="","",Q146*O146)</f>
        <v/>
      </c>
      <c r="S146" s="8">
        <f>IF(O146="","",IF($E146="LONG",K146+Settings!$B$6*O146,K146-Settings!$B$6*O146))</f>
        <v/>
      </c>
      <c r="T146" s="7" t="n"/>
      <c r="V146" s="8">
        <f>IF(OR($E146="",T146=""),"",IF($E146="LONG",(T146-L146)*Q146,(L146-T146)*Q146))</f>
        <v/>
      </c>
      <c r="W146" s="10">
        <f>IF(V146="","",V146/N146)</f>
        <v/>
      </c>
      <c r="X146" s="11">
        <f>IF(V146="","",V146/R146)</f>
        <v/>
      </c>
      <c r="Y146" s="8">
        <f>IF(OR($E146="",L146=""),"",IF($E146="LONG",L146-K146,K146-L146))</f>
        <v/>
      </c>
      <c r="AP146" s="7" t="n"/>
    </row>
    <row r="147">
      <c r="H147" s="7" t="n"/>
      <c r="I147" s="7" t="n"/>
      <c r="J147" s="8">
        <f>IF($E147="","",MAX(Settings!$B$7,ROUND(Settings!$B$8*IF($E147="LONG",H147,I147),2)))</f>
        <v/>
      </c>
      <c r="K147" s="8">
        <f>IF($E147="","",IF($E147="LONG",H147+J147,I147-J147))</f>
        <v/>
      </c>
      <c r="L147" s="7" t="n"/>
      <c r="M147" s="8">
        <f>IF($E147="","",IF($E147="LONG",K147-O147,K147+O147))</f>
        <v/>
      </c>
      <c r="N147" s="7" t="n"/>
      <c r="O147" s="8">
        <f>IF(OR($E147="",AP147=""),"",ROUNDUP(ROUND(MAX(IF($E147="LONG",K147-I147,H147-K147),Settings!$B$9*AP147),6),2))</f>
        <v/>
      </c>
      <c r="P147" s="8">
        <f>IF($E147="","",N147*Settings!$B$4)</f>
        <v/>
      </c>
      <c r="Q147" s="9">
        <f>IF(O147="","",MIN(INT(ROUND(P147/O147,6)),INT(ROUND(Settings!$B$5/K147,6))))</f>
        <v/>
      </c>
      <c r="R147" s="8">
        <f>IF(O147="","",Q147*O147)</f>
        <v/>
      </c>
      <c r="S147" s="8">
        <f>IF(O147="","",IF($E147="LONG",K147+Settings!$B$6*O147,K147-Settings!$B$6*O147))</f>
        <v/>
      </c>
      <c r="T147" s="7" t="n"/>
      <c r="V147" s="8">
        <f>IF(OR($E147="",T147=""),"",IF($E147="LONG",(T147-L147)*Q147,(L147-T147)*Q147))</f>
        <v/>
      </c>
      <c r="W147" s="10">
        <f>IF(V147="","",V147/N147)</f>
        <v/>
      </c>
      <c r="X147" s="11">
        <f>IF(V147="","",V147/R147)</f>
        <v/>
      </c>
      <c r="Y147" s="8">
        <f>IF(OR($E147="",L147=""),"",IF($E147="LONG",L147-K147,K147-L147))</f>
        <v/>
      </c>
      <c r="AP147" s="7" t="n"/>
    </row>
    <row r="148">
      <c r="H148" s="7" t="n"/>
      <c r="I148" s="7" t="n"/>
      <c r="J148" s="8">
        <f>IF($E148="","",MAX(Settings!$B$7,ROUND(Settings!$B$8*IF($E148="LONG",H148,I148),2)))</f>
        <v/>
      </c>
      <c r="K148" s="8">
        <f>IF($E148="","",IF($E148="LONG",H148+J148,I148-J148))</f>
        <v/>
      </c>
      <c r="L148" s="7" t="n"/>
      <c r="M148" s="8">
        <f>IF($E148="","",IF($E148="LONG",K148-O148,K148+O148))</f>
        <v/>
      </c>
      <c r="N148" s="7" t="n"/>
      <c r="O148" s="8">
        <f>IF(OR($E148="",AP148=""),"",ROUNDUP(ROUND(MAX(IF($E148="LONG",K148-I148,H148-K148),Settings!$B$9*AP148),6),2))</f>
        <v/>
      </c>
      <c r="P148" s="8">
        <f>IF($E148="","",N148*Settings!$B$4)</f>
        <v/>
      </c>
      <c r="Q148" s="9">
        <f>IF(O148="","",MIN(INT(ROUND(P148/O148,6)),INT(ROUND(Settings!$B$5/K148,6))))</f>
        <v/>
      </c>
      <c r="R148" s="8">
        <f>IF(O148="","",Q148*O148)</f>
        <v/>
      </c>
      <c r="S148" s="8">
        <f>IF(O148="","",IF($E148="LONG",K148+Settings!$B$6*O148,K148-Settings!$B$6*O148))</f>
        <v/>
      </c>
      <c r="T148" s="7" t="n"/>
      <c r="V148" s="8">
        <f>IF(OR($E148="",T148=""),"",IF($E148="LONG",(T148-L148)*Q148,(L148-T148)*Q148))</f>
        <v/>
      </c>
      <c r="W148" s="10">
        <f>IF(V148="","",V148/N148)</f>
        <v/>
      </c>
      <c r="X148" s="11">
        <f>IF(V148="","",V148/R148)</f>
        <v/>
      </c>
      <c r="Y148" s="8">
        <f>IF(OR($E148="",L148=""),"",IF($E148="LONG",L148-K148,K148-L148))</f>
        <v/>
      </c>
      <c r="AP148" s="7" t="n"/>
    </row>
    <row r="149">
      <c r="H149" s="7" t="n"/>
      <c r="I149" s="7" t="n"/>
      <c r="J149" s="8">
        <f>IF($E149="","",MAX(Settings!$B$7,ROUND(Settings!$B$8*IF($E149="LONG",H149,I149),2)))</f>
        <v/>
      </c>
      <c r="K149" s="8">
        <f>IF($E149="","",IF($E149="LONG",H149+J149,I149-J149))</f>
        <v/>
      </c>
      <c r="L149" s="7" t="n"/>
      <c r="M149" s="8">
        <f>IF($E149="","",IF($E149="LONG",K149-O149,K149+O149))</f>
        <v/>
      </c>
      <c r="N149" s="7" t="n"/>
      <c r="O149" s="8">
        <f>IF(OR($E149="",AP149=""),"",ROUNDUP(ROUND(MAX(IF($E149="LONG",K149-I149,H149-K149),Settings!$B$9*AP149),6),2))</f>
        <v/>
      </c>
      <c r="P149" s="8">
        <f>IF($E149="","",N149*Settings!$B$4)</f>
        <v/>
      </c>
      <c r="Q149" s="9">
        <f>IF(O149="","",MIN(INT(ROUND(P149/O149,6)),INT(ROUND(Settings!$B$5/K149,6))))</f>
        <v/>
      </c>
      <c r="R149" s="8">
        <f>IF(O149="","",Q149*O149)</f>
        <v/>
      </c>
      <c r="S149" s="8">
        <f>IF(O149="","",IF($E149="LONG",K149+Settings!$B$6*O149,K149-Settings!$B$6*O149))</f>
        <v/>
      </c>
      <c r="T149" s="7" t="n"/>
      <c r="V149" s="8">
        <f>IF(OR($E149="",T149=""),"",IF($E149="LONG",(T149-L149)*Q149,(L149-T149)*Q149))</f>
        <v/>
      </c>
      <c r="W149" s="10">
        <f>IF(V149="","",V149/N149)</f>
        <v/>
      </c>
      <c r="X149" s="11">
        <f>IF(V149="","",V149/R149)</f>
        <v/>
      </c>
      <c r="Y149" s="8">
        <f>IF(OR($E149="",L149=""),"",IF($E149="LONG",L149-K149,K149-L149))</f>
        <v/>
      </c>
      <c r="AP149" s="7" t="n"/>
    </row>
    <row r="150">
      <c r="H150" s="7" t="n"/>
      <c r="I150" s="7" t="n"/>
      <c r="J150" s="8">
        <f>IF($E150="","",MAX(Settings!$B$7,ROUND(Settings!$B$8*IF($E150="LONG",H150,I150),2)))</f>
        <v/>
      </c>
      <c r="K150" s="8">
        <f>IF($E150="","",IF($E150="LONG",H150+J150,I150-J150))</f>
        <v/>
      </c>
      <c r="L150" s="7" t="n"/>
      <c r="M150" s="8">
        <f>IF($E150="","",IF($E150="LONG",K150-O150,K150+O150))</f>
        <v/>
      </c>
      <c r="N150" s="7" t="n"/>
      <c r="O150" s="8">
        <f>IF(OR($E150="",AP150=""),"",ROUNDUP(ROUND(MAX(IF($E150="LONG",K150-I150,H150-K150),Settings!$B$9*AP150),6),2))</f>
        <v/>
      </c>
      <c r="P150" s="8">
        <f>IF($E150="","",N150*Settings!$B$4)</f>
        <v/>
      </c>
      <c r="Q150" s="9">
        <f>IF(O150="","",MIN(INT(ROUND(P150/O150,6)),INT(ROUND(Settings!$B$5/K150,6))))</f>
        <v/>
      </c>
      <c r="R150" s="8">
        <f>IF(O150="","",Q150*O150)</f>
        <v/>
      </c>
      <c r="S150" s="8">
        <f>IF(O150="","",IF($E150="LONG",K150+Settings!$B$6*O150,K150-Settings!$B$6*O150))</f>
        <v/>
      </c>
      <c r="T150" s="7" t="n"/>
      <c r="V150" s="8">
        <f>IF(OR($E150="",T150=""),"",IF($E150="LONG",(T150-L150)*Q150,(L150-T150)*Q150))</f>
        <v/>
      </c>
      <c r="W150" s="10">
        <f>IF(V150="","",V150/N150)</f>
        <v/>
      </c>
      <c r="X150" s="11">
        <f>IF(V150="","",V150/R150)</f>
        <v/>
      </c>
      <c r="Y150" s="8">
        <f>IF(OR($E150="",L150=""),"",IF($E150="LONG",L150-K150,K150-L150))</f>
        <v/>
      </c>
      <c r="AP150" s="7" t="n"/>
    </row>
    <row r="151">
      <c r="H151" s="7" t="n"/>
      <c r="I151" s="7" t="n"/>
      <c r="J151" s="8">
        <f>IF($E151="","",MAX(Settings!$B$7,ROUND(Settings!$B$8*IF($E151="LONG",H151,I151),2)))</f>
        <v/>
      </c>
      <c r="K151" s="8">
        <f>IF($E151="","",IF($E151="LONG",H151+J151,I151-J151))</f>
        <v/>
      </c>
      <c r="L151" s="7" t="n"/>
      <c r="M151" s="8">
        <f>IF($E151="","",IF($E151="LONG",K151-O151,K151+O151))</f>
        <v/>
      </c>
      <c r="N151" s="7" t="n"/>
      <c r="O151" s="8">
        <f>IF(OR($E151="",AP151=""),"",ROUNDUP(ROUND(MAX(IF($E151="LONG",K151-I151,H151-K151),Settings!$B$9*AP151),6),2))</f>
        <v/>
      </c>
      <c r="P151" s="8">
        <f>IF($E151="","",N151*Settings!$B$4)</f>
        <v/>
      </c>
      <c r="Q151" s="9">
        <f>IF(O151="","",MIN(INT(ROUND(P151/O151,6)),INT(ROUND(Settings!$B$5/K151,6))))</f>
        <v/>
      </c>
      <c r="R151" s="8">
        <f>IF(O151="","",Q151*O151)</f>
        <v/>
      </c>
      <c r="S151" s="8">
        <f>IF(O151="","",IF($E151="LONG",K151+Settings!$B$6*O151,K151-Settings!$B$6*O151))</f>
        <v/>
      </c>
      <c r="T151" s="7" t="n"/>
      <c r="V151" s="8">
        <f>IF(OR($E151="",T151=""),"",IF($E151="LONG",(T151-L151)*Q151,(L151-T151)*Q151))</f>
        <v/>
      </c>
      <c r="W151" s="10">
        <f>IF(V151="","",V151/N151)</f>
        <v/>
      </c>
      <c r="X151" s="11">
        <f>IF(V151="","",V151/R151)</f>
        <v/>
      </c>
      <c r="Y151" s="8">
        <f>IF(OR($E151="",L151=""),"",IF($E151="LONG",L151-K151,K151-L151))</f>
        <v/>
      </c>
      <c r="AP151" s="7" t="n"/>
    </row>
    <row r="152">
      <c r="H152" s="7" t="n"/>
      <c r="I152" s="7" t="n"/>
      <c r="J152" s="8">
        <f>IF($E152="","",MAX(Settings!$B$7,ROUND(Settings!$B$8*IF($E152="LONG",H152,I152),2)))</f>
        <v/>
      </c>
      <c r="K152" s="8">
        <f>IF($E152="","",IF($E152="LONG",H152+J152,I152-J152))</f>
        <v/>
      </c>
      <c r="L152" s="7" t="n"/>
      <c r="M152" s="8">
        <f>IF($E152="","",IF($E152="LONG",K152-O152,K152+O152))</f>
        <v/>
      </c>
      <c r="N152" s="7" t="n"/>
      <c r="O152" s="8">
        <f>IF(OR($E152="",AP152=""),"",ROUNDUP(ROUND(MAX(IF($E152="LONG",K152-I152,H152-K152),Settings!$B$9*AP152),6),2))</f>
        <v/>
      </c>
      <c r="P152" s="8">
        <f>IF($E152="","",N152*Settings!$B$4)</f>
        <v/>
      </c>
      <c r="Q152" s="9">
        <f>IF(O152="","",MIN(INT(ROUND(P152/O152,6)),INT(ROUND(Settings!$B$5/K152,6))))</f>
        <v/>
      </c>
      <c r="R152" s="8">
        <f>IF(O152="","",Q152*O152)</f>
        <v/>
      </c>
      <c r="S152" s="8">
        <f>IF(O152="","",IF($E152="LONG",K152+Settings!$B$6*O152,K152-Settings!$B$6*O152))</f>
        <v/>
      </c>
      <c r="T152" s="7" t="n"/>
      <c r="V152" s="8">
        <f>IF(OR($E152="",T152=""),"",IF($E152="LONG",(T152-L152)*Q152,(L152-T152)*Q152))</f>
        <v/>
      </c>
      <c r="W152" s="10">
        <f>IF(V152="","",V152/N152)</f>
        <v/>
      </c>
      <c r="X152" s="11">
        <f>IF(V152="","",V152/R152)</f>
        <v/>
      </c>
      <c r="Y152" s="8">
        <f>IF(OR($E152="",L152=""),"",IF($E152="LONG",L152-K152,K152-L152))</f>
        <v/>
      </c>
      <c r="AP152" s="7" t="n"/>
    </row>
    <row r="153">
      <c r="H153" s="7" t="n"/>
      <c r="I153" s="7" t="n"/>
      <c r="J153" s="8">
        <f>IF($E153="","",MAX(Settings!$B$7,ROUND(Settings!$B$8*IF($E153="LONG",H153,I153),2)))</f>
        <v/>
      </c>
      <c r="K153" s="8">
        <f>IF($E153="","",IF($E153="LONG",H153+J153,I153-J153))</f>
        <v/>
      </c>
      <c r="L153" s="7" t="n"/>
      <c r="M153" s="8">
        <f>IF($E153="","",IF($E153="LONG",K153-O153,K153+O153))</f>
        <v/>
      </c>
      <c r="N153" s="7" t="n"/>
      <c r="O153" s="8">
        <f>IF(OR($E153="",AP153=""),"",ROUNDUP(ROUND(MAX(IF($E153="LONG",K153-I153,H153-K153),Settings!$B$9*AP153),6),2))</f>
        <v/>
      </c>
      <c r="P153" s="8">
        <f>IF($E153="","",N153*Settings!$B$4)</f>
        <v/>
      </c>
      <c r="Q153" s="9">
        <f>IF(O153="","",MIN(INT(ROUND(P153/O153,6)),INT(ROUND(Settings!$B$5/K153,6))))</f>
        <v/>
      </c>
      <c r="R153" s="8">
        <f>IF(O153="","",Q153*O153)</f>
        <v/>
      </c>
      <c r="S153" s="8">
        <f>IF(O153="","",IF($E153="LONG",K153+Settings!$B$6*O153,K153-Settings!$B$6*O153))</f>
        <v/>
      </c>
      <c r="T153" s="7" t="n"/>
      <c r="V153" s="8">
        <f>IF(OR($E153="",T153=""),"",IF($E153="LONG",(T153-L153)*Q153,(L153-T153)*Q153))</f>
        <v/>
      </c>
      <c r="W153" s="10">
        <f>IF(V153="","",V153/N153)</f>
        <v/>
      </c>
      <c r="X153" s="11">
        <f>IF(V153="","",V153/R153)</f>
        <v/>
      </c>
      <c r="Y153" s="8">
        <f>IF(OR($E153="",L153=""),"",IF($E153="LONG",L153-K153,K153-L153))</f>
        <v/>
      </c>
      <c r="AP153" s="7" t="n"/>
    </row>
    <row r="154">
      <c r="H154" s="7" t="n"/>
      <c r="I154" s="7" t="n"/>
      <c r="J154" s="8">
        <f>IF($E154="","",MAX(Settings!$B$7,ROUND(Settings!$B$8*IF($E154="LONG",H154,I154),2)))</f>
        <v/>
      </c>
      <c r="K154" s="8">
        <f>IF($E154="","",IF($E154="LONG",H154+J154,I154-J154))</f>
        <v/>
      </c>
      <c r="L154" s="7" t="n"/>
      <c r="M154" s="8">
        <f>IF($E154="","",IF($E154="LONG",K154-O154,K154+O154))</f>
        <v/>
      </c>
      <c r="N154" s="7" t="n"/>
      <c r="O154" s="8">
        <f>IF(OR($E154="",AP154=""),"",ROUNDUP(ROUND(MAX(IF($E154="LONG",K154-I154,H154-K154),Settings!$B$9*AP154),6),2))</f>
        <v/>
      </c>
      <c r="P154" s="8">
        <f>IF($E154="","",N154*Settings!$B$4)</f>
        <v/>
      </c>
      <c r="Q154" s="9">
        <f>IF(O154="","",MIN(INT(ROUND(P154/O154,6)),INT(ROUND(Settings!$B$5/K154,6))))</f>
        <v/>
      </c>
      <c r="R154" s="8">
        <f>IF(O154="","",Q154*O154)</f>
        <v/>
      </c>
      <c r="S154" s="8">
        <f>IF(O154="","",IF($E154="LONG",K154+Settings!$B$6*O154,K154-Settings!$B$6*O154))</f>
        <v/>
      </c>
      <c r="T154" s="7" t="n"/>
      <c r="V154" s="8">
        <f>IF(OR($E154="",T154=""),"",IF($E154="LONG",(T154-L154)*Q154,(L154-T154)*Q154))</f>
        <v/>
      </c>
      <c r="W154" s="10">
        <f>IF(V154="","",V154/N154)</f>
        <v/>
      </c>
      <c r="X154" s="11">
        <f>IF(V154="","",V154/R154)</f>
        <v/>
      </c>
      <c r="Y154" s="8">
        <f>IF(OR($E154="",L154=""),"",IF($E154="LONG",L154-K154,K154-L154))</f>
        <v/>
      </c>
      <c r="AP154" s="7" t="n"/>
    </row>
    <row r="155">
      <c r="H155" s="7" t="n"/>
      <c r="I155" s="7" t="n"/>
      <c r="J155" s="8">
        <f>IF($E155="","",MAX(Settings!$B$7,ROUND(Settings!$B$8*IF($E155="LONG",H155,I155),2)))</f>
        <v/>
      </c>
      <c r="K155" s="8">
        <f>IF($E155="","",IF($E155="LONG",H155+J155,I155-J155))</f>
        <v/>
      </c>
      <c r="L155" s="7" t="n"/>
      <c r="M155" s="8">
        <f>IF($E155="","",IF($E155="LONG",K155-O155,K155+O155))</f>
        <v/>
      </c>
      <c r="N155" s="7" t="n"/>
      <c r="O155" s="8">
        <f>IF(OR($E155="",AP155=""),"",ROUNDUP(ROUND(MAX(IF($E155="LONG",K155-I155,H155-K155),Settings!$B$9*AP155),6),2))</f>
        <v/>
      </c>
      <c r="P155" s="8">
        <f>IF($E155="","",N155*Settings!$B$4)</f>
        <v/>
      </c>
      <c r="Q155" s="9">
        <f>IF(O155="","",MIN(INT(ROUND(P155/O155,6)),INT(ROUND(Settings!$B$5/K155,6))))</f>
        <v/>
      </c>
      <c r="R155" s="8">
        <f>IF(O155="","",Q155*O155)</f>
        <v/>
      </c>
      <c r="S155" s="8">
        <f>IF(O155="","",IF($E155="LONG",K155+Settings!$B$6*O155,K155-Settings!$B$6*O155))</f>
        <v/>
      </c>
      <c r="T155" s="7" t="n"/>
      <c r="V155" s="8">
        <f>IF(OR($E155="",T155=""),"",IF($E155="LONG",(T155-L155)*Q155,(L155-T155)*Q155))</f>
        <v/>
      </c>
      <c r="W155" s="10">
        <f>IF(V155="","",V155/N155)</f>
        <v/>
      </c>
      <c r="X155" s="11">
        <f>IF(V155="","",V155/R155)</f>
        <v/>
      </c>
      <c r="Y155" s="8">
        <f>IF(OR($E155="",L155=""),"",IF($E155="LONG",L155-K155,K155-L155))</f>
        <v/>
      </c>
      <c r="AP155" s="7" t="n"/>
    </row>
    <row r="156">
      <c r="H156" s="7" t="n"/>
      <c r="I156" s="7" t="n"/>
      <c r="J156" s="8">
        <f>IF($E156="","",MAX(Settings!$B$7,ROUND(Settings!$B$8*IF($E156="LONG",H156,I156),2)))</f>
        <v/>
      </c>
      <c r="K156" s="8">
        <f>IF($E156="","",IF($E156="LONG",H156+J156,I156-J156))</f>
        <v/>
      </c>
      <c r="L156" s="7" t="n"/>
      <c r="M156" s="8">
        <f>IF($E156="","",IF($E156="LONG",K156-O156,K156+O156))</f>
        <v/>
      </c>
      <c r="N156" s="7" t="n"/>
      <c r="O156" s="8">
        <f>IF(OR($E156="",AP156=""),"",ROUNDUP(ROUND(MAX(IF($E156="LONG",K156-I156,H156-K156),Settings!$B$9*AP156),6),2))</f>
        <v/>
      </c>
      <c r="P156" s="8">
        <f>IF($E156="","",N156*Settings!$B$4)</f>
        <v/>
      </c>
      <c r="Q156" s="9">
        <f>IF(O156="","",MIN(INT(ROUND(P156/O156,6)),INT(ROUND(Settings!$B$5/K156,6))))</f>
        <v/>
      </c>
      <c r="R156" s="8">
        <f>IF(O156="","",Q156*O156)</f>
        <v/>
      </c>
      <c r="S156" s="8">
        <f>IF(O156="","",IF($E156="LONG",K156+Settings!$B$6*O156,K156-Settings!$B$6*O156))</f>
        <v/>
      </c>
      <c r="T156" s="7" t="n"/>
      <c r="V156" s="8">
        <f>IF(OR($E156="",T156=""),"",IF($E156="LONG",(T156-L156)*Q156,(L156-T156)*Q156))</f>
        <v/>
      </c>
      <c r="W156" s="10">
        <f>IF(V156="","",V156/N156)</f>
        <v/>
      </c>
      <c r="X156" s="11">
        <f>IF(V156="","",V156/R156)</f>
        <v/>
      </c>
      <c r="Y156" s="8">
        <f>IF(OR($E156="",L156=""),"",IF($E156="LONG",L156-K156,K156-L156))</f>
        <v/>
      </c>
      <c r="AP156" s="7" t="n"/>
    </row>
    <row r="157">
      <c r="H157" s="7" t="n"/>
      <c r="I157" s="7" t="n"/>
      <c r="J157" s="8">
        <f>IF($E157="","",MAX(Settings!$B$7,ROUND(Settings!$B$8*IF($E157="LONG",H157,I157),2)))</f>
        <v/>
      </c>
      <c r="K157" s="8">
        <f>IF($E157="","",IF($E157="LONG",H157+J157,I157-J157))</f>
        <v/>
      </c>
      <c r="L157" s="7" t="n"/>
      <c r="M157" s="8">
        <f>IF($E157="","",IF($E157="LONG",K157-O157,K157+O157))</f>
        <v/>
      </c>
      <c r="N157" s="7" t="n"/>
      <c r="O157" s="8">
        <f>IF(OR($E157="",AP157=""),"",ROUNDUP(ROUND(MAX(IF($E157="LONG",K157-I157,H157-K157),Settings!$B$9*AP157),6),2))</f>
        <v/>
      </c>
      <c r="P157" s="8">
        <f>IF($E157="","",N157*Settings!$B$4)</f>
        <v/>
      </c>
      <c r="Q157" s="9">
        <f>IF(O157="","",MIN(INT(ROUND(P157/O157,6)),INT(ROUND(Settings!$B$5/K157,6))))</f>
        <v/>
      </c>
      <c r="R157" s="8">
        <f>IF(O157="","",Q157*O157)</f>
        <v/>
      </c>
      <c r="S157" s="8">
        <f>IF(O157="","",IF($E157="LONG",K157+Settings!$B$6*O157,K157-Settings!$B$6*O157))</f>
        <v/>
      </c>
      <c r="T157" s="7" t="n"/>
      <c r="V157" s="8">
        <f>IF(OR($E157="",T157=""),"",IF($E157="LONG",(T157-L157)*Q157,(L157-T157)*Q157))</f>
        <v/>
      </c>
      <c r="W157" s="10">
        <f>IF(V157="","",V157/N157)</f>
        <v/>
      </c>
      <c r="X157" s="11">
        <f>IF(V157="","",V157/R157)</f>
        <v/>
      </c>
      <c r="Y157" s="8">
        <f>IF(OR($E157="",L157=""),"",IF($E157="LONG",L157-K157,K157-L157))</f>
        <v/>
      </c>
      <c r="AP157" s="7" t="n"/>
    </row>
    <row r="158">
      <c r="H158" s="7" t="n"/>
      <c r="I158" s="7" t="n"/>
      <c r="J158" s="8">
        <f>IF($E158="","",MAX(Settings!$B$7,ROUND(Settings!$B$8*IF($E158="LONG",H158,I158),2)))</f>
        <v/>
      </c>
      <c r="K158" s="8">
        <f>IF($E158="","",IF($E158="LONG",H158+J158,I158-J158))</f>
        <v/>
      </c>
      <c r="L158" s="7" t="n"/>
      <c r="M158" s="8">
        <f>IF($E158="","",IF($E158="LONG",K158-O158,K158+O158))</f>
        <v/>
      </c>
      <c r="N158" s="7" t="n"/>
      <c r="O158" s="8">
        <f>IF(OR($E158="",AP158=""),"",ROUNDUP(ROUND(MAX(IF($E158="LONG",K158-I158,H158-K158),Settings!$B$9*AP158),6),2))</f>
        <v/>
      </c>
      <c r="P158" s="8">
        <f>IF($E158="","",N158*Settings!$B$4)</f>
        <v/>
      </c>
      <c r="Q158" s="9">
        <f>IF(O158="","",MIN(INT(ROUND(P158/O158,6)),INT(ROUND(Settings!$B$5/K158,6))))</f>
        <v/>
      </c>
      <c r="R158" s="8">
        <f>IF(O158="","",Q158*O158)</f>
        <v/>
      </c>
      <c r="S158" s="8">
        <f>IF(O158="","",IF($E158="LONG",K158+Settings!$B$6*O158,K158-Settings!$B$6*O158))</f>
        <v/>
      </c>
      <c r="T158" s="7" t="n"/>
      <c r="V158" s="8">
        <f>IF(OR($E158="",T158=""),"",IF($E158="LONG",(T158-L158)*Q158,(L158-T158)*Q158))</f>
        <v/>
      </c>
      <c r="W158" s="10">
        <f>IF(V158="","",V158/N158)</f>
        <v/>
      </c>
      <c r="X158" s="11">
        <f>IF(V158="","",V158/R158)</f>
        <v/>
      </c>
      <c r="Y158" s="8">
        <f>IF(OR($E158="",L158=""),"",IF($E158="LONG",L158-K158,K158-L158))</f>
        <v/>
      </c>
      <c r="AP158" s="7" t="n"/>
    </row>
    <row r="159">
      <c r="H159" s="7" t="n"/>
      <c r="I159" s="7" t="n"/>
      <c r="J159" s="8">
        <f>IF($E159="","",MAX(Settings!$B$7,ROUND(Settings!$B$8*IF($E159="LONG",H159,I159),2)))</f>
        <v/>
      </c>
      <c r="K159" s="8">
        <f>IF($E159="","",IF($E159="LONG",H159+J159,I159-J159))</f>
        <v/>
      </c>
      <c r="L159" s="7" t="n"/>
      <c r="M159" s="8">
        <f>IF($E159="","",IF($E159="LONG",K159-O159,K159+O159))</f>
        <v/>
      </c>
      <c r="N159" s="7" t="n"/>
      <c r="O159" s="8">
        <f>IF(OR($E159="",AP159=""),"",ROUNDUP(ROUND(MAX(IF($E159="LONG",K159-I159,H159-K159),Settings!$B$9*AP159),6),2))</f>
        <v/>
      </c>
      <c r="P159" s="8">
        <f>IF($E159="","",N159*Settings!$B$4)</f>
        <v/>
      </c>
      <c r="Q159" s="9">
        <f>IF(O159="","",MIN(INT(ROUND(P159/O159,6)),INT(ROUND(Settings!$B$5/K159,6))))</f>
        <v/>
      </c>
      <c r="R159" s="8">
        <f>IF(O159="","",Q159*O159)</f>
        <v/>
      </c>
      <c r="S159" s="8">
        <f>IF(O159="","",IF($E159="LONG",K159+Settings!$B$6*O159,K159-Settings!$B$6*O159))</f>
        <v/>
      </c>
      <c r="T159" s="7" t="n"/>
      <c r="V159" s="8">
        <f>IF(OR($E159="",T159=""),"",IF($E159="LONG",(T159-L159)*Q159,(L159-T159)*Q159))</f>
        <v/>
      </c>
      <c r="W159" s="10">
        <f>IF(V159="","",V159/N159)</f>
        <v/>
      </c>
      <c r="X159" s="11">
        <f>IF(V159="","",V159/R159)</f>
        <v/>
      </c>
      <c r="Y159" s="8">
        <f>IF(OR($E159="",L159=""),"",IF($E159="LONG",L159-K159,K159-L159))</f>
        <v/>
      </c>
      <c r="AP159" s="7" t="n"/>
    </row>
    <row r="160">
      <c r="H160" s="7" t="n"/>
      <c r="I160" s="7" t="n"/>
      <c r="J160" s="8">
        <f>IF($E160="","",MAX(Settings!$B$7,ROUND(Settings!$B$8*IF($E160="LONG",H160,I160),2)))</f>
        <v/>
      </c>
      <c r="K160" s="8">
        <f>IF($E160="","",IF($E160="LONG",H160+J160,I160-J160))</f>
        <v/>
      </c>
      <c r="L160" s="7" t="n"/>
      <c r="M160" s="8">
        <f>IF($E160="","",IF($E160="LONG",K160-O160,K160+O160))</f>
        <v/>
      </c>
      <c r="N160" s="7" t="n"/>
      <c r="O160" s="8">
        <f>IF(OR($E160="",AP160=""),"",ROUNDUP(ROUND(MAX(IF($E160="LONG",K160-I160,H160-K160),Settings!$B$9*AP160),6),2))</f>
        <v/>
      </c>
      <c r="P160" s="8">
        <f>IF($E160="","",N160*Settings!$B$4)</f>
        <v/>
      </c>
      <c r="Q160" s="9">
        <f>IF(O160="","",MIN(INT(ROUND(P160/O160,6)),INT(ROUND(Settings!$B$5/K160,6))))</f>
        <v/>
      </c>
      <c r="R160" s="8">
        <f>IF(O160="","",Q160*O160)</f>
        <v/>
      </c>
      <c r="S160" s="8">
        <f>IF(O160="","",IF($E160="LONG",K160+Settings!$B$6*O160,K160-Settings!$B$6*O160))</f>
        <v/>
      </c>
      <c r="T160" s="7" t="n"/>
      <c r="V160" s="8">
        <f>IF(OR($E160="",T160=""),"",IF($E160="LONG",(T160-L160)*Q160,(L160-T160)*Q160))</f>
        <v/>
      </c>
      <c r="W160" s="10">
        <f>IF(V160="","",V160/N160)</f>
        <v/>
      </c>
      <c r="X160" s="11">
        <f>IF(V160="","",V160/R160)</f>
        <v/>
      </c>
      <c r="Y160" s="8">
        <f>IF(OR($E160="",L160=""),"",IF($E160="LONG",L160-K160,K160-L160))</f>
        <v/>
      </c>
      <c r="AP160" s="7" t="n"/>
    </row>
    <row r="161">
      <c r="H161" s="7" t="n"/>
      <c r="I161" s="7" t="n"/>
      <c r="J161" s="8">
        <f>IF($E161="","",MAX(Settings!$B$7,ROUND(Settings!$B$8*IF($E161="LONG",H161,I161),2)))</f>
        <v/>
      </c>
      <c r="K161" s="8">
        <f>IF($E161="","",IF($E161="LONG",H161+J161,I161-J161))</f>
        <v/>
      </c>
      <c r="L161" s="7" t="n"/>
      <c r="M161" s="8">
        <f>IF($E161="","",IF($E161="LONG",K161-O161,K161+O161))</f>
        <v/>
      </c>
      <c r="N161" s="7" t="n"/>
      <c r="O161" s="8">
        <f>IF(OR($E161="",AP161=""),"",ROUNDUP(ROUND(MAX(IF($E161="LONG",K161-I161,H161-K161),Settings!$B$9*AP161),6),2))</f>
        <v/>
      </c>
      <c r="P161" s="8">
        <f>IF($E161="","",N161*Settings!$B$4)</f>
        <v/>
      </c>
      <c r="Q161" s="9">
        <f>IF(O161="","",MIN(INT(ROUND(P161/O161,6)),INT(ROUND(Settings!$B$5/K161,6))))</f>
        <v/>
      </c>
      <c r="R161" s="8">
        <f>IF(O161="","",Q161*O161)</f>
        <v/>
      </c>
      <c r="S161" s="8">
        <f>IF(O161="","",IF($E161="LONG",K161+Settings!$B$6*O161,K161-Settings!$B$6*O161))</f>
        <v/>
      </c>
      <c r="T161" s="7" t="n"/>
      <c r="V161" s="8">
        <f>IF(OR($E161="",T161=""),"",IF($E161="LONG",(T161-L161)*Q161,(L161-T161)*Q161))</f>
        <v/>
      </c>
      <c r="W161" s="10">
        <f>IF(V161="","",V161/N161)</f>
        <v/>
      </c>
      <c r="X161" s="11">
        <f>IF(V161="","",V161/R161)</f>
        <v/>
      </c>
      <c r="Y161" s="8">
        <f>IF(OR($E161="",L161=""),"",IF($E161="LONG",L161-K161,K161-L161))</f>
        <v/>
      </c>
      <c r="AP161" s="7" t="n"/>
    </row>
    <row r="162">
      <c r="H162" s="7" t="n"/>
      <c r="I162" s="7" t="n"/>
      <c r="J162" s="8">
        <f>IF($E162="","",MAX(Settings!$B$7,ROUND(Settings!$B$8*IF($E162="LONG",H162,I162),2)))</f>
        <v/>
      </c>
      <c r="K162" s="8">
        <f>IF($E162="","",IF($E162="LONG",H162+J162,I162-J162))</f>
        <v/>
      </c>
      <c r="L162" s="7" t="n"/>
      <c r="M162" s="8">
        <f>IF($E162="","",IF($E162="LONG",K162-O162,K162+O162))</f>
        <v/>
      </c>
      <c r="N162" s="7" t="n"/>
      <c r="O162" s="8">
        <f>IF(OR($E162="",AP162=""),"",ROUNDUP(ROUND(MAX(IF($E162="LONG",K162-I162,H162-K162),Settings!$B$9*AP162),6),2))</f>
        <v/>
      </c>
      <c r="P162" s="8">
        <f>IF($E162="","",N162*Settings!$B$4)</f>
        <v/>
      </c>
      <c r="Q162" s="9">
        <f>IF(O162="","",MIN(INT(ROUND(P162/O162,6)),INT(ROUND(Settings!$B$5/K162,6))))</f>
        <v/>
      </c>
      <c r="R162" s="8">
        <f>IF(O162="","",Q162*O162)</f>
        <v/>
      </c>
      <c r="S162" s="8">
        <f>IF(O162="","",IF($E162="LONG",K162+Settings!$B$6*O162,K162-Settings!$B$6*O162))</f>
        <v/>
      </c>
      <c r="T162" s="7" t="n"/>
      <c r="V162" s="8">
        <f>IF(OR($E162="",T162=""),"",IF($E162="LONG",(T162-L162)*Q162,(L162-T162)*Q162))</f>
        <v/>
      </c>
      <c r="W162" s="10">
        <f>IF(V162="","",V162/N162)</f>
        <v/>
      </c>
      <c r="X162" s="11">
        <f>IF(V162="","",V162/R162)</f>
        <v/>
      </c>
      <c r="Y162" s="8">
        <f>IF(OR($E162="",L162=""),"",IF($E162="LONG",L162-K162,K162-L162))</f>
        <v/>
      </c>
      <c r="AP162" s="7" t="n"/>
    </row>
    <row r="163">
      <c r="H163" s="7" t="n"/>
      <c r="I163" s="7" t="n"/>
      <c r="J163" s="8">
        <f>IF($E163="","",MAX(Settings!$B$7,ROUND(Settings!$B$8*IF($E163="LONG",H163,I163),2)))</f>
        <v/>
      </c>
      <c r="K163" s="8">
        <f>IF($E163="","",IF($E163="LONG",H163+J163,I163-J163))</f>
        <v/>
      </c>
      <c r="L163" s="7" t="n"/>
      <c r="M163" s="8">
        <f>IF($E163="","",IF($E163="LONG",K163-O163,K163+O163))</f>
        <v/>
      </c>
      <c r="N163" s="7" t="n"/>
      <c r="O163" s="8">
        <f>IF(OR($E163="",AP163=""),"",ROUNDUP(ROUND(MAX(IF($E163="LONG",K163-I163,H163-K163),Settings!$B$9*AP163),6),2))</f>
        <v/>
      </c>
      <c r="P163" s="8">
        <f>IF($E163="","",N163*Settings!$B$4)</f>
        <v/>
      </c>
      <c r="Q163" s="9">
        <f>IF(O163="","",MIN(INT(ROUND(P163/O163,6)),INT(ROUND(Settings!$B$5/K163,6))))</f>
        <v/>
      </c>
      <c r="R163" s="8">
        <f>IF(O163="","",Q163*O163)</f>
        <v/>
      </c>
      <c r="S163" s="8">
        <f>IF(O163="","",IF($E163="LONG",K163+Settings!$B$6*O163,K163-Settings!$B$6*O163))</f>
        <v/>
      </c>
      <c r="T163" s="7" t="n"/>
      <c r="V163" s="8">
        <f>IF(OR($E163="",T163=""),"",IF($E163="LONG",(T163-L163)*Q163,(L163-T163)*Q163))</f>
        <v/>
      </c>
      <c r="W163" s="10">
        <f>IF(V163="","",V163/N163)</f>
        <v/>
      </c>
      <c r="X163" s="11">
        <f>IF(V163="","",V163/R163)</f>
        <v/>
      </c>
      <c r="Y163" s="8">
        <f>IF(OR($E163="",L163=""),"",IF($E163="LONG",L163-K163,K163-L163))</f>
        <v/>
      </c>
      <c r="AP163" s="7" t="n"/>
    </row>
    <row r="164">
      <c r="H164" s="7" t="n"/>
      <c r="I164" s="7" t="n"/>
      <c r="J164" s="8">
        <f>IF($E164="","",MAX(Settings!$B$7,ROUND(Settings!$B$8*IF($E164="LONG",H164,I164),2)))</f>
        <v/>
      </c>
      <c r="K164" s="8">
        <f>IF($E164="","",IF($E164="LONG",H164+J164,I164-J164))</f>
        <v/>
      </c>
      <c r="L164" s="7" t="n"/>
      <c r="M164" s="8">
        <f>IF($E164="","",IF($E164="LONG",K164-O164,K164+O164))</f>
        <v/>
      </c>
      <c r="N164" s="7" t="n"/>
      <c r="O164" s="8">
        <f>IF(OR($E164="",AP164=""),"",ROUNDUP(ROUND(MAX(IF($E164="LONG",K164-I164,H164-K164),Settings!$B$9*AP164),6),2))</f>
        <v/>
      </c>
      <c r="P164" s="8">
        <f>IF($E164="","",N164*Settings!$B$4)</f>
        <v/>
      </c>
      <c r="Q164" s="9">
        <f>IF(O164="","",MIN(INT(ROUND(P164/O164,6)),INT(ROUND(Settings!$B$5/K164,6))))</f>
        <v/>
      </c>
      <c r="R164" s="8">
        <f>IF(O164="","",Q164*O164)</f>
        <v/>
      </c>
      <c r="S164" s="8">
        <f>IF(O164="","",IF($E164="LONG",K164+Settings!$B$6*O164,K164-Settings!$B$6*O164))</f>
        <v/>
      </c>
      <c r="T164" s="7" t="n"/>
      <c r="V164" s="8">
        <f>IF(OR($E164="",T164=""),"",IF($E164="LONG",(T164-L164)*Q164,(L164-T164)*Q164))</f>
        <v/>
      </c>
      <c r="W164" s="10">
        <f>IF(V164="","",V164/N164)</f>
        <v/>
      </c>
      <c r="X164" s="11">
        <f>IF(V164="","",V164/R164)</f>
        <v/>
      </c>
      <c r="Y164" s="8">
        <f>IF(OR($E164="",L164=""),"",IF($E164="LONG",L164-K164,K164-L164))</f>
        <v/>
      </c>
      <c r="AP164" s="7" t="n"/>
    </row>
    <row r="165">
      <c r="H165" s="7" t="n"/>
      <c r="I165" s="7" t="n"/>
      <c r="J165" s="8">
        <f>IF($E165="","",MAX(Settings!$B$7,ROUND(Settings!$B$8*IF($E165="LONG",H165,I165),2)))</f>
        <v/>
      </c>
      <c r="K165" s="8">
        <f>IF($E165="","",IF($E165="LONG",H165+J165,I165-J165))</f>
        <v/>
      </c>
      <c r="L165" s="7" t="n"/>
      <c r="M165" s="8">
        <f>IF($E165="","",IF($E165="LONG",K165-O165,K165+O165))</f>
        <v/>
      </c>
      <c r="N165" s="7" t="n"/>
      <c r="O165" s="8">
        <f>IF(OR($E165="",AP165=""),"",ROUNDUP(ROUND(MAX(IF($E165="LONG",K165-I165,H165-K165),Settings!$B$9*AP165),6),2))</f>
        <v/>
      </c>
      <c r="P165" s="8">
        <f>IF($E165="","",N165*Settings!$B$4)</f>
        <v/>
      </c>
      <c r="Q165" s="9">
        <f>IF(O165="","",MIN(INT(ROUND(P165/O165,6)),INT(ROUND(Settings!$B$5/K165,6))))</f>
        <v/>
      </c>
      <c r="R165" s="8">
        <f>IF(O165="","",Q165*O165)</f>
        <v/>
      </c>
      <c r="S165" s="8">
        <f>IF(O165="","",IF($E165="LONG",K165+Settings!$B$6*O165,K165-Settings!$B$6*O165))</f>
        <v/>
      </c>
      <c r="T165" s="7" t="n"/>
      <c r="V165" s="8">
        <f>IF(OR($E165="",T165=""),"",IF($E165="LONG",(T165-L165)*Q165,(L165-T165)*Q165))</f>
        <v/>
      </c>
      <c r="W165" s="10">
        <f>IF(V165="","",V165/N165)</f>
        <v/>
      </c>
      <c r="X165" s="11">
        <f>IF(V165="","",V165/R165)</f>
        <v/>
      </c>
      <c r="Y165" s="8">
        <f>IF(OR($E165="",L165=""),"",IF($E165="LONG",L165-K165,K165-L165))</f>
        <v/>
      </c>
      <c r="AP165" s="7" t="n"/>
    </row>
    <row r="166">
      <c r="H166" s="7" t="n"/>
      <c r="I166" s="7" t="n"/>
      <c r="J166" s="8">
        <f>IF($E166="","",MAX(Settings!$B$7,ROUND(Settings!$B$8*IF($E166="LONG",H166,I166),2)))</f>
        <v/>
      </c>
      <c r="K166" s="8">
        <f>IF($E166="","",IF($E166="LONG",H166+J166,I166-J166))</f>
        <v/>
      </c>
      <c r="L166" s="7" t="n"/>
      <c r="M166" s="8">
        <f>IF($E166="","",IF($E166="LONG",K166-O166,K166+O166))</f>
        <v/>
      </c>
      <c r="N166" s="7" t="n"/>
      <c r="O166" s="8">
        <f>IF(OR($E166="",AP166=""),"",ROUNDUP(ROUND(MAX(IF($E166="LONG",K166-I166,H166-K166),Settings!$B$9*AP166),6),2))</f>
        <v/>
      </c>
      <c r="P166" s="8">
        <f>IF($E166="","",N166*Settings!$B$4)</f>
        <v/>
      </c>
      <c r="Q166" s="9">
        <f>IF(O166="","",MIN(INT(ROUND(P166/O166,6)),INT(ROUND(Settings!$B$5/K166,6))))</f>
        <v/>
      </c>
      <c r="R166" s="8">
        <f>IF(O166="","",Q166*O166)</f>
        <v/>
      </c>
      <c r="S166" s="8">
        <f>IF(O166="","",IF($E166="LONG",K166+Settings!$B$6*O166,K166-Settings!$B$6*O166))</f>
        <v/>
      </c>
      <c r="T166" s="7" t="n"/>
      <c r="V166" s="8">
        <f>IF(OR($E166="",T166=""),"",IF($E166="LONG",(T166-L166)*Q166,(L166-T166)*Q166))</f>
        <v/>
      </c>
      <c r="W166" s="10">
        <f>IF(V166="","",V166/N166)</f>
        <v/>
      </c>
      <c r="X166" s="11">
        <f>IF(V166="","",V166/R166)</f>
        <v/>
      </c>
      <c r="Y166" s="8">
        <f>IF(OR($E166="",L166=""),"",IF($E166="LONG",L166-K166,K166-L166))</f>
        <v/>
      </c>
      <c r="AP166" s="7" t="n"/>
    </row>
    <row r="167">
      <c r="H167" s="7" t="n"/>
      <c r="I167" s="7" t="n"/>
      <c r="J167" s="8">
        <f>IF($E167="","",MAX(Settings!$B$7,ROUND(Settings!$B$8*IF($E167="LONG",H167,I167),2)))</f>
        <v/>
      </c>
      <c r="K167" s="8">
        <f>IF($E167="","",IF($E167="LONG",H167+J167,I167-J167))</f>
        <v/>
      </c>
      <c r="L167" s="7" t="n"/>
      <c r="M167" s="8">
        <f>IF($E167="","",IF($E167="LONG",K167-O167,K167+O167))</f>
        <v/>
      </c>
      <c r="N167" s="7" t="n"/>
      <c r="O167" s="8">
        <f>IF(OR($E167="",AP167=""),"",ROUNDUP(ROUND(MAX(IF($E167="LONG",K167-I167,H167-K167),Settings!$B$9*AP167),6),2))</f>
        <v/>
      </c>
      <c r="P167" s="8">
        <f>IF($E167="","",N167*Settings!$B$4)</f>
        <v/>
      </c>
      <c r="Q167" s="9">
        <f>IF(O167="","",MIN(INT(ROUND(P167/O167,6)),INT(ROUND(Settings!$B$5/K167,6))))</f>
        <v/>
      </c>
      <c r="R167" s="8">
        <f>IF(O167="","",Q167*O167)</f>
        <v/>
      </c>
      <c r="S167" s="8">
        <f>IF(O167="","",IF($E167="LONG",K167+Settings!$B$6*O167,K167-Settings!$B$6*O167))</f>
        <v/>
      </c>
      <c r="T167" s="7" t="n"/>
      <c r="V167" s="8">
        <f>IF(OR($E167="",T167=""),"",IF($E167="LONG",(T167-L167)*Q167,(L167-T167)*Q167))</f>
        <v/>
      </c>
      <c r="W167" s="10">
        <f>IF(V167="","",V167/N167)</f>
        <v/>
      </c>
      <c r="X167" s="11">
        <f>IF(V167="","",V167/R167)</f>
        <v/>
      </c>
      <c r="Y167" s="8">
        <f>IF(OR($E167="",L167=""),"",IF($E167="LONG",L167-K167,K167-L167))</f>
        <v/>
      </c>
      <c r="AP167" s="7" t="n"/>
    </row>
    <row r="168">
      <c r="H168" s="7" t="n"/>
      <c r="I168" s="7" t="n"/>
      <c r="J168" s="8">
        <f>IF($E168="","",MAX(Settings!$B$7,ROUND(Settings!$B$8*IF($E168="LONG",H168,I168),2)))</f>
        <v/>
      </c>
      <c r="K168" s="8">
        <f>IF($E168="","",IF($E168="LONG",H168+J168,I168-J168))</f>
        <v/>
      </c>
      <c r="L168" s="7" t="n"/>
      <c r="M168" s="8">
        <f>IF($E168="","",IF($E168="LONG",K168-O168,K168+O168))</f>
        <v/>
      </c>
      <c r="N168" s="7" t="n"/>
      <c r="O168" s="8">
        <f>IF(OR($E168="",AP168=""),"",ROUNDUP(ROUND(MAX(IF($E168="LONG",K168-I168,H168-K168),Settings!$B$9*AP168),6),2))</f>
        <v/>
      </c>
      <c r="P168" s="8">
        <f>IF($E168="","",N168*Settings!$B$4)</f>
        <v/>
      </c>
      <c r="Q168" s="9">
        <f>IF(O168="","",MIN(INT(ROUND(P168/O168,6)),INT(ROUND(Settings!$B$5/K168,6))))</f>
        <v/>
      </c>
      <c r="R168" s="8">
        <f>IF(O168="","",Q168*O168)</f>
        <v/>
      </c>
      <c r="S168" s="8">
        <f>IF(O168="","",IF($E168="LONG",K168+Settings!$B$6*O168,K168-Settings!$B$6*O168))</f>
        <v/>
      </c>
      <c r="T168" s="7" t="n"/>
      <c r="V168" s="8">
        <f>IF(OR($E168="",T168=""),"",IF($E168="LONG",(T168-L168)*Q168,(L168-T168)*Q168))</f>
        <v/>
      </c>
      <c r="W168" s="10">
        <f>IF(V168="","",V168/N168)</f>
        <v/>
      </c>
      <c r="X168" s="11">
        <f>IF(V168="","",V168/R168)</f>
        <v/>
      </c>
      <c r="Y168" s="8">
        <f>IF(OR($E168="",L168=""),"",IF($E168="LONG",L168-K168,K168-L168))</f>
        <v/>
      </c>
      <c r="AP168" s="7" t="n"/>
    </row>
    <row r="169">
      <c r="H169" s="7" t="n"/>
      <c r="I169" s="7" t="n"/>
      <c r="J169" s="8">
        <f>IF($E169="","",MAX(Settings!$B$7,ROUND(Settings!$B$8*IF($E169="LONG",H169,I169),2)))</f>
        <v/>
      </c>
      <c r="K169" s="8">
        <f>IF($E169="","",IF($E169="LONG",H169+J169,I169-J169))</f>
        <v/>
      </c>
      <c r="L169" s="7" t="n"/>
      <c r="M169" s="8">
        <f>IF($E169="","",IF($E169="LONG",K169-O169,K169+O169))</f>
        <v/>
      </c>
      <c r="N169" s="7" t="n"/>
      <c r="O169" s="8">
        <f>IF(OR($E169="",AP169=""),"",ROUNDUP(ROUND(MAX(IF($E169="LONG",K169-I169,H169-K169),Settings!$B$9*AP169),6),2))</f>
        <v/>
      </c>
      <c r="P169" s="8">
        <f>IF($E169="","",N169*Settings!$B$4)</f>
        <v/>
      </c>
      <c r="Q169" s="9">
        <f>IF(O169="","",MIN(INT(ROUND(P169/O169,6)),INT(ROUND(Settings!$B$5/K169,6))))</f>
        <v/>
      </c>
      <c r="R169" s="8">
        <f>IF(O169="","",Q169*O169)</f>
        <v/>
      </c>
      <c r="S169" s="8">
        <f>IF(O169="","",IF($E169="LONG",K169+Settings!$B$6*O169,K169-Settings!$B$6*O169))</f>
        <v/>
      </c>
      <c r="T169" s="7" t="n"/>
      <c r="V169" s="8">
        <f>IF(OR($E169="",T169=""),"",IF($E169="LONG",(T169-L169)*Q169,(L169-T169)*Q169))</f>
        <v/>
      </c>
      <c r="W169" s="10">
        <f>IF(V169="","",V169/N169)</f>
        <v/>
      </c>
      <c r="X169" s="11">
        <f>IF(V169="","",V169/R169)</f>
        <v/>
      </c>
      <c r="Y169" s="8">
        <f>IF(OR($E169="",L169=""),"",IF($E169="LONG",L169-K169,K169-L169))</f>
        <v/>
      </c>
      <c r="AP169" s="7" t="n"/>
    </row>
    <row r="170">
      <c r="H170" s="7" t="n"/>
      <c r="I170" s="7" t="n"/>
      <c r="J170" s="8">
        <f>IF($E170="","",MAX(Settings!$B$7,ROUND(Settings!$B$8*IF($E170="LONG",H170,I170),2)))</f>
        <v/>
      </c>
      <c r="K170" s="8">
        <f>IF($E170="","",IF($E170="LONG",H170+J170,I170-J170))</f>
        <v/>
      </c>
      <c r="L170" s="7" t="n"/>
      <c r="M170" s="8">
        <f>IF($E170="","",IF($E170="LONG",K170-O170,K170+O170))</f>
        <v/>
      </c>
      <c r="N170" s="7" t="n"/>
      <c r="O170" s="8">
        <f>IF(OR($E170="",AP170=""),"",ROUNDUP(ROUND(MAX(IF($E170="LONG",K170-I170,H170-K170),Settings!$B$9*AP170),6),2))</f>
        <v/>
      </c>
      <c r="P170" s="8">
        <f>IF($E170="","",N170*Settings!$B$4)</f>
        <v/>
      </c>
      <c r="Q170" s="9">
        <f>IF(O170="","",MIN(INT(ROUND(P170/O170,6)),INT(ROUND(Settings!$B$5/K170,6))))</f>
        <v/>
      </c>
      <c r="R170" s="8">
        <f>IF(O170="","",Q170*O170)</f>
        <v/>
      </c>
      <c r="S170" s="8">
        <f>IF(O170="","",IF($E170="LONG",K170+Settings!$B$6*O170,K170-Settings!$B$6*O170))</f>
        <v/>
      </c>
      <c r="T170" s="7" t="n"/>
      <c r="V170" s="8">
        <f>IF(OR($E170="",T170=""),"",IF($E170="LONG",(T170-L170)*Q170,(L170-T170)*Q170))</f>
        <v/>
      </c>
      <c r="W170" s="10">
        <f>IF(V170="","",V170/N170)</f>
        <v/>
      </c>
      <c r="X170" s="11">
        <f>IF(V170="","",V170/R170)</f>
        <v/>
      </c>
      <c r="Y170" s="8">
        <f>IF(OR($E170="",L170=""),"",IF($E170="LONG",L170-K170,K170-L170))</f>
        <v/>
      </c>
      <c r="AP170" s="7" t="n"/>
    </row>
    <row r="171">
      <c r="H171" s="7" t="n"/>
      <c r="I171" s="7" t="n"/>
      <c r="J171" s="8">
        <f>IF($E171="","",MAX(Settings!$B$7,ROUND(Settings!$B$8*IF($E171="LONG",H171,I171),2)))</f>
        <v/>
      </c>
      <c r="K171" s="8">
        <f>IF($E171="","",IF($E171="LONG",H171+J171,I171-J171))</f>
        <v/>
      </c>
      <c r="L171" s="7" t="n"/>
      <c r="M171" s="8">
        <f>IF($E171="","",IF($E171="LONG",K171-O171,K171+O171))</f>
        <v/>
      </c>
      <c r="N171" s="7" t="n"/>
      <c r="O171" s="8">
        <f>IF(OR($E171="",AP171=""),"",ROUNDUP(ROUND(MAX(IF($E171="LONG",K171-I171,H171-K171),Settings!$B$9*AP171),6),2))</f>
        <v/>
      </c>
      <c r="P171" s="8">
        <f>IF($E171="","",N171*Settings!$B$4)</f>
        <v/>
      </c>
      <c r="Q171" s="9">
        <f>IF(O171="","",MIN(INT(ROUND(P171/O171,6)),INT(ROUND(Settings!$B$5/K171,6))))</f>
        <v/>
      </c>
      <c r="R171" s="8">
        <f>IF(O171="","",Q171*O171)</f>
        <v/>
      </c>
      <c r="S171" s="8">
        <f>IF(O171="","",IF($E171="LONG",K171+Settings!$B$6*O171,K171-Settings!$B$6*O171))</f>
        <v/>
      </c>
      <c r="T171" s="7" t="n"/>
      <c r="V171" s="8">
        <f>IF(OR($E171="",T171=""),"",IF($E171="LONG",(T171-L171)*Q171,(L171-T171)*Q171))</f>
        <v/>
      </c>
      <c r="W171" s="10">
        <f>IF(V171="","",V171/N171)</f>
        <v/>
      </c>
      <c r="X171" s="11">
        <f>IF(V171="","",V171/R171)</f>
        <v/>
      </c>
      <c r="Y171" s="8">
        <f>IF(OR($E171="",L171=""),"",IF($E171="LONG",L171-K171,K171-L171))</f>
        <v/>
      </c>
      <c r="AP171" s="7" t="n"/>
    </row>
    <row r="172">
      <c r="H172" s="7" t="n"/>
      <c r="I172" s="7" t="n"/>
      <c r="J172" s="8">
        <f>IF($E172="","",MAX(Settings!$B$7,ROUND(Settings!$B$8*IF($E172="LONG",H172,I172),2)))</f>
        <v/>
      </c>
      <c r="K172" s="8">
        <f>IF($E172="","",IF($E172="LONG",H172+J172,I172-J172))</f>
        <v/>
      </c>
      <c r="L172" s="7" t="n"/>
      <c r="M172" s="8">
        <f>IF($E172="","",IF($E172="LONG",K172-O172,K172+O172))</f>
        <v/>
      </c>
      <c r="N172" s="7" t="n"/>
      <c r="O172" s="8">
        <f>IF(OR($E172="",AP172=""),"",ROUNDUP(ROUND(MAX(IF($E172="LONG",K172-I172,H172-K172),Settings!$B$9*AP172),6),2))</f>
        <v/>
      </c>
      <c r="P172" s="8">
        <f>IF($E172="","",N172*Settings!$B$4)</f>
        <v/>
      </c>
      <c r="Q172" s="9">
        <f>IF(O172="","",MIN(INT(ROUND(P172/O172,6)),INT(ROUND(Settings!$B$5/K172,6))))</f>
        <v/>
      </c>
      <c r="R172" s="8">
        <f>IF(O172="","",Q172*O172)</f>
        <v/>
      </c>
      <c r="S172" s="8">
        <f>IF(O172="","",IF($E172="LONG",K172+Settings!$B$6*O172,K172-Settings!$B$6*O172))</f>
        <v/>
      </c>
      <c r="T172" s="7" t="n"/>
      <c r="V172" s="8">
        <f>IF(OR($E172="",T172=""),"",IF($E172="LONG",(T172-L172)*Q172,(L172-T172)*Q172))</f>
        <v/>
      </c>
      <c r="W172" s="10">
        <f>IF(V172="","",V172/N172)</f>
        <v/>
      </c>
      <c r="X172" s="11">
        <f>IF(V172="","",V172/R172)</f>
        <v/>
      </c>
      <c r="Y172" s="8">
        <f>IF(OR($E172="",L172=""),"",IF($E172="LONG",L172-K172,K172-L172))</f>
        <v/>
      </c>
      <c r="AP172" s="7" t="n"/>
    </row>
    <row r="173">
      <c r="H173" s="7" t="n"/>
      <c r="I173" s="7" t="n"/>
      <c r="J173" s="8">
        <f>IF($E173="","",MAX(Settings!$B$7,ROUND(Settings!$B$8*IF($E173="LONG",H173,I173),2)))</f>
        <v/>
      </c>
      <c r="K173" s="8">
        <f>IF($E173="","",IF($E173="LONG",H173+J173,I173-J173))</f>
        <v/>
      </c>
      <c r="L173" s="7" t="n"/>
      <c r="M173" s="8">
        <f>IF($E173="","",IF($E173="LONG",K173-O173,K173+O173))</f>
        <v/>
      </c>
      <c r="N173" s="7" t="n"/>
      <c r="O173" s="8">
        <f>IF(OR($E173="",AP173=""),"",ROUNDUP(ROUND(MAX(IF($E173="LONG",K173-I173,H173-K173),Settings!$B$9*AP173),6),2))</f>
        <v/>
      </c>
      <c r="P173" s="8">
        <f>IF($E173="","",N173*Settings!$B$4)</f>
        <v/>
      </c>
      <c r="Q173" s="9">
        <f>IF(O173="","",MIN(INT(ROUND(P173/O173,6)),INT(ROUND(Settings!$B$5/K173,6))))</f>
        <v/>
      </c>
      <c r="R173" s="8">
        <f>IF(O173="","",Q173*O173)</f>
        <v/>
      </c>
      <c r="S173" s="8">
        <f>IF(O173="","",IF($E173="LONG",K173+Settings!$B$6*O173,K173-Settings!$B$6*O173))</f>
        <v/>
      </c>
      <c r="T173" s="7" t="n"/>
      <c r="V173" s="8">
        <f>IF(OR($E173="",T173=""),"",IF($E173="LONG",(T173-L173)*Q173,(L173-T173)*Q173))</f>
        <v/>
      </c>
      <c r="W173" s="10">
        <f>IF(V173="","",V173/N173)</f>
        <v/>
      </c>
      <c r="X173" s="11">
        <f>IF(V173="","",V173/R173)</f>
        <v/>
      </c>
      <c r="Y173" s="8">
        <f>IF(OR($E173="",L173=""),"",IF($E173="LONG",L173-K173,K173-L173))</f>
        <v/>
      </c>
      <c r="AP173" s="7" t="n"/>
    </row>
    <row r="174">
      <c r="H174" s="7" t="n"/>
      <c r="I174" s="7" t="n"/>
      <c r="J174" s="8">
        <f>IF($E174="","",MAX(Settings!$B$7,ROUND(Settings!$B$8*IF($E174="LONG",H174,I174),2)))</f>
        <v/>
      </c>
      <c r="K174" s="8">
        <f>IF($E174="","",IF($E174="LONG",H174+J174,I174-J174))</f>
        <v/>
      </c>
      <c r="L174" s="7" t="n"/>
      <c r="M174" s="8">
        <f>IF($E174="","",IF($E174="LONG",K174-O174,K174+O174))</f>
        <v/>
      </c>
      <c r="N174" s="7" t="n"/>
      <c r="O174" s="8">
        <f>IF(OR($E174="",AP174=""),"",ROUNDUP(ROUND(MAX(IF($E174="LONG",K174-I174,H174-K174),Settings!$B$9*AP174),6),2))</f>
        <v/>
      </c>
      <c r="P174" s="8">
        <f>IF($E174="","",N174*Settings!$B$4)</f>
        <v/>
      </c>
      <c r="Q174" s="9">
        <f>IF(O174="","",MIN(INT(ROUND(P174/O174,6)),INT(ROUND(Settings!$B$5/K174,6))))</f>
        <v/>
      </c>
      <c r="R174" s="8">
        <f>IF(O174="","",Q174*O174)</f>
        <v/>
      </c>
      <c r="S174" s="8">
        <f>IF(O174="","",IF($E174="LONG",K174+Settings!$B$6*O174,K174-Settings!$B$6*O174))</f>
        <v/>
      </c>
      <c r="T174" s="7" t="n"/>
      <c r="V174" s="8">
        <f>IF(OR($E174="",T174=""),"",IF($E174="LONG",(T174-L174)*Q174,(L174-T174)*Q174))</f>
        <v/>
      </c>
      <c r="W174" s="10">
        <f>IF(V174="","",V174/N174)</f>
        <v/>
      </c>
      <c r="X174" s="11">
        <f>IF(V174="","",V174/R174)</f>
        <v/>
      </c>
      <c r="Y174" s="8">
        <f>IF(OR($E174="",L174=""),"",IF($E174="LONG",L174-K174,K174-L174))</f>
        <v/>
      </c>
      <c r="AP174" s="7" t="n"/>
    </row>
    <row r="175">
      <c r="H175" s="7" t="n"/>
      <c r="I175" s="7" t="n"/>
      <c r="J175" s="8">
        <f>IF($E175="","",MAX(Settings!$B$7,ROUND(Settings!$B$8*IF($E175="LONG",H175,I175),2)))</f>
        <v/>
      </c>
      <c r="K175" s="8">
        <f>IF($E175="","",IF($E175="LONG",H175+J175,I175-J175))</f>
        <v/>
      </c>
      <c r="L175" s="7" t="n"/>
      <c r="M175" s="8">
        <f>IF($E175="","",IF($E175="LONG",K175-O175,K175+O175))</f>
        <v/>
      </c>
      <c r="N175" s="7" t="n"/>
      <c r="O175" s="8">
        <f>IF(OR($E175="",AP175=""),"",ROUNDUP(ROUND(MAX(IF($E175="LONG",K175-I175,H175-K175),Settings!$B$9*AP175),6),2))</f>
        <v/>
      </c>
      <c r="P175" s="8">
        <f>IF($E175="","",N175*Settings!$B$4)</f>
        <v/>
      </c>
      <c r="Q175" s="9">
        <f>IF(O175="","",MIN(INT(ROUND(P175/O175,6)),INT(ROUND(Settings!$B$5/K175,6))))</f>
        <v/>
      </c>
      <c r="R175" s="8">
        <f>IF(O175="","",Q175*O175)</f>
        <v/>
      </c>
      <c r="S175" s="8">
        <f>IF(O175="","",IF($E175="LONG",K175+Settings!$B$6*O175,K175-Settings!$B$6*O175))</f>
        <v/>
      </c>
      <c r="T175" s="7" t="n"/>
      <c r="V175" s="8">
        <f>IF(OR($E175="",T175=""),"",IF($E175="LONG",(T175-L175)*Q175,(L175-T175)*Q175))</f>
        <v/>
      </c>
      <c r="W175" s="10">
        <f>IF(V175="","",V175/N175)</f>
        <v/>
      </c>
      <c r="X175" s="11">
        <f>IF(V175="","",V175/R175)</f>
        <v/>
      </c>
      <c r="Y175" s="8">
        <f>IF(OR($E175="",L175=""),"",IF($E175="LONG",L175-K175,K175-L175))</f>
        <v/>
      </c>
      <c r="AP175" s="7" t="n"/>
    </row>
    <row r="176">
      <c r="H176" s="7" t="n"/>
      <c r="I176" s="7" t="n"/>
      <c r="J176" s="8">
        <f>IF($E176="","",MAX(Settings!$B$7,ROUND(Settings!$B$8*IF($E176="LONG",H176,I176),2)))</f>
        <v/>
      </c>
      <c r="K176" s="8">
        <f>IF($E176="","",IF($E176="LONG",H176+J176,I176-J176))</f>
        <v/>
      </c>
      <c r="L176" s="7" t="n"/>
      <c r="M176" s="8">
        <f>IF($E176="","",IF($E176="LONG",K176-O176,K176+O176))</f>
        <v/>
      </c>
      <c r="N176" s="7" t="n"/>
      <c r="O176" s="8">
        <f>IF(OR($E176="",AP176=""),"",ROUNDUP(ROUND(MAX(IF($E176="LONG",K176-I176,H176-K176),Settings!$B$9*AP176),6),2))</f>
        <v/>
      </c>
      <c r="P176" s="8">
        <f>IF($E176="","",N176*Settings!$B$4)</f>
        <v/>
      </c>
      <c r="Q176" s="9">
        <f>IF(O176="","",MIN(INT(ROUND(P176/O176,6)),INT(ROUND(Settings!$B$5/K176,6))))</f>
        <v/>
      </c>
      <c r="R176" s="8">
        <f>IF(O176="","",Q176*O176)</f>
        <v/>
      </c>
      <c r="S176" s="8">
        <f>IF(O176="","",IF($E176="LONG",K176+Settings!$B$6*O176,K176-Settings!$B$6*O176))</f>
        <v/>
      </c>
      <c r="T176" s="7" t="n"/>
      <c r="V176" s="8">
        <f>IF(OR($E176="",T176=""),"",IF($E176="LONG",(T176-L176)*Q176,(L176-T176)*Q176))</f>
        <v/>
      </c>
      <c r="W176" s="10">
        <f>IF(V176="","",V176/N176)</f>
        <v/>
      </c>
      <c r="X176" s="11">
        <f>IF(V176="","",V176/R176)</f>
        <v/>
      </c>
      <c r="Y176" s="8">
        <f>IF(OR($E176="",L176=""),"",IF($E176="LONG",L176-K176,K176-L176))</f>
        <v/>
      </c>
      <c r="AP176" s="7" t="n"/>
    </row>
    <row r="177">
      <c r="H177" s="7" t="n"/>
      <c r="I177" s="7" t="n"/>
      <c r="J177" s="8">
        <f>IF($E177="","",MAX(Settings!$B$7,ROUND(Settings!$B$8*IF($E177="LONG",H177,I177),2)))</f>
        <v/>
      </c>
      <c r="K177" s="8">
        <f>IF($E177="","",IF($E177="LONG",H177+J177,I177-J177))</f>
        <v/>
      </c>
      <c r="L177" s="7" t="n"/>
      <c r="M177" s="8">
        <f>IF($E177="","",IF($E177="LONG",K177-O177,K177+O177))</f>
        <v/>
      </c>
      <c r="N177" s="7" t="n"/>
      <c r="O177" s="8">
        <f>IF(OR($E177="",AP177=""),"",ROUNDUP(ROUND(MAX(IF($E177="LONG",K177-I177,H177-K177),Settings!$B$9*AP177),6),2))</f>
        <v/>
      </c>
      <c r="P177" s="8">
        <f>IF($E177="","",N177*Settings!$B$4)</f>
        <v/>
      </c>
      <c r="Q177" s="9">
        <f>IF(O177="","",MIN(INT(ROUND(P177/O177,6)),INT(ROUND(Settings!$B$5/K177,6))))</f>
        <v/>
      </c>
      <c r="R177" s="8">
        <f>IF(O177="","",Q177*O177)</f>
        <v/>
      </c>
      <c r="S177" s="8">
        <f>IF(O177="","",IF($E177="LONG",K177+Settings!$B$6*O177,K177-Settings!$B$6*O177))</f>
        <v/>
      </c>
      <c r="T177" s="7" t="n"/>
      <c r="V177" s="8">
        <f>IF(OR($E177="",T177=""),"",IF($E177="LONG",(T177-L177)*Q177,(L177-T177)*Q177))</f>
        <v/>
      </c>
      <c r="W177" s="10">
        <f>IF(V177="","",V177/N177)</f>
        <v/>
      </c>
      <c r="X177" s="11">
        <f>IF(V177="","",V177/R177)</f>
        <v/>
      </c>
      <c r="Y177" s="8">
        <f>IF(OR($E177="",L177=""),"",IF($E177="LONG",L177-K177,K177-L177))</f>
        <v/>
      </c>
      <c r="AP177" s="7" t="n"/>
    </row>
    <row r="178">
      <c r="H178" s="7" t="n"/>
      <c r="I178" s="7" t="n"/>
      <c r="J178" s="8">
        <f>IF($E178="","",MAX(Settings!$B$7,ROUND(Settings!$B$8*IF($E178="LONG",H178,I178),2)))</f>
        <v/>
      </c>
      <c r="K178" s="8">
        <f>IF($E178="","",IF($E178="LONG",H178+J178,I178-J178))</f>
        <v/>
      </c>
      <c r="L178" s="7" t="n"/>
      <c r="M178" s="8">
        <f>IF($E178="","",IF($E178="LONG",K178-O178,K178+O178))</f>
        <v/>
      </c>
      <c r="N178" s="7" t="n"/>
      <c r="O178" s="8">
        <f>IF(OR($E178="",AP178=""),"",ROUNDUP(ROUND(MAX(IF($E178="LONG",K178-I178,H178-K178),Settings!$B$9*AP178),6),2))</f>
        <v/>
      </c>
      <c r="P178" s="8">
        <f>IF($E178="","",N178*Settings!$B$4)</f>
        <v/>
      </c>
      <c r="Q178" s="9">
        <f>IF(O178="","",MIN(INT(ROUND(P178/O178,6)),INT(ROUND(Settings!$B$5/K178,6))))</f>
        <v/>
      </c>
      <c r="R178" s="8">
        <f>IF(O178="","",Q178*O178)</f>
        <v/>
      </c>
      <c r="S178" s="8">
        <f>IF(O178="","",IF($E178="LONG",K178+Settings!$B$6*O178,K178-Settings!$B$6*O178))</f>
        <v/>
      </c>
      <c r="T178" s="7" t="n"/>
      <c r="V178" s="8">
        <f>IF(OR($E178="",T178=""),"",IF($E178="LONG",(T178-L178)*Q178,(L178-T178)*Q178))</f>
        <v/>
      </c>
      <c r="W178" s="10">
        <f>IF(V178="","",V178/N178)</f>
        <v/>
      </c>
      <c r="X178" s="11">
        <f>IF(V178="","",V178/R178)</f>
        <v/>
      </c>
      <c r="Y178" s="8">
        <f>IF(OR($E178="",L178=""),"",IF($E178="LONG",L178-K178,K178-L178))</f>
        <v/>
      </c>
      <c r="AP178" s="7" t="n"/>
    </row>
    <row r="179">
      <c r="H179" s="7" t="n"/>
      <c r="I179" s="7" t="n"/>
      <c r="J179" s="8">
        <f>IF($E179="","",MAX(Settings!$B$7,ROUND(Settings!$B$8*IF($E179="LONG",H179,I179),2)))</f>
        <v/>
      </c>
      <c r="K179" s="8">
        <f>IF($E179="","",IF($E179="LONG",H179+J179,I179-J179))</f>
        <v/>
      </c>
      <c r="L179" s="7" t="n"/>
      <c r="M179" s="8">
        <f>IF($E179="","",IF($E179="LONG",K179-O179,K179+O179))</f>
        <v/>
      </c>
      <c r="N179" s="7" t="n"/>
      <c r="O179" s="8">
        <f>IF(OR($E179="",AP179=""),"",ROUNDUP(ROUND(MAX(IF($E179="LONG",K179-I179,H179-K179),Settings!$B$9*AP179),6),2))</f>
        <v/>
      </c>
      <c r="P179" s="8">
        <f>IF($E179="","",N179*Settings!$B$4)</f>
        <v/>
      </c>
      <c r="Q179" s="9">
        <f>IF(O179="","",MIN(INT(ROUND(P179/O179,6)),INT(ROUND(Settings!$B$5/K179,6))))</f>
        <v/>
      </c>
      <c r="R179" s="8">
        <f>IF(O179="","",Q179*O179)</f>
        <v/>
      </c>
      <c r="S179" s="8">
        <f>IF(O179="","",IF($E179="LONG",K179+Settings!$B$6*O179,K179-Settings!$B$6*O179))</f>
        <v/>
      </c>
      <c r="T179" s="7" t="n"/>
      <c r="V179" s="8">
        <f>IF(OR($E179="",T179=""),"",IF($E179="LONG",(T179-L179)*Q179,(L179-T179)*Q179))</f>
        <v/>
      </c>
      <c r="W179" s="10">
        <f>IF(V179="","",V179/N179)</f>
        <v/>
      </c>
      <c r="X179" s="11">
        <f>IF(V179="","",V179/R179)</f>
        <v/>
      </c>
      <c r="Y179" s="8">
        <f>IF(OR($E179="",L179=""),"",IF($E179="LONG",L179-K179,K179-L179))</f>
        <v/>
      </c>
      <c r="AP179" s="7" t="n"/>
    </row>
    <row r="180">
      <c r="H180" s="7" t="n"/>
      <c r="I180" s="7" t="n"/>
      <c r="J180" s="8">
        <f>IF($E180="","",MAX(Settings!$B$7,ROUND(Settings!$B$8*IF($E180="LONG",H180,I180),2)))</f>
        <v/>
      </c>
      <c r="K180" s="8">
        <f>IF($E180="","",IF($E180="LONG",H180+J180,I180-J180))</f>
        <v/>
      </c>
      <c r="L180" s="7" t="n"/>
      <c r="M180" s="8">
        <f>IF($E180="","",IF($E180="LONG",K180-O180,K180+O180))</f>
        <v/>
      </c>
      <c r="N180" s="7" t="n"/>
      <c r="O180" s="8">
        <f>IF(OR($E180="",AP180=""),"",ROUNDUP(ROUND(MAX(IF($E180="LONG",K180-I180,H180-K180),Settings!$B$9*AP180),6),2))</f>
        <v/>
      </c>
      <c r="P180" s="8">
        <f>IF($E180="","",N180*Settings!$B$4)</f>
        <v/>
      </c>
      <c r="Q180" s="9">
        <f>IF(O180="","",MIN(INT(ROUND(P180/O180,6)),INT(ROUND(Settings!$B$5/K180,6))))</f>
        <v/>
      </c>
      <c r="R180" s="8">
        <f>IF(O180="","",Q180*O180)</f>
        <v/>
      </c>
      <c r="S180" s="8">
        <f>IF(O180="","",IF($E180="LONG",K180+Settings!$B$6*O180,K180-Settings!$B$6*O180))</f>
        <v/>
      </c>
      <c r="T180" s="7" t="n"/>
      <c r="V180" s="8">
        <f>IF(OR($E180="",T180=""),"",IF($E180="LONG",(T180-L180)*Q180,(L180-T180)*Q180))</f>
        <v/>
      </c>
      <c r="W180" s="10">
        <f>IF(V180="","",V180/N180)</f>
        <v/>
      </c>
      <c r="X180" s="11">
        <f>IF(V180="","",V180/R180)</f>
        <v/>
      </c>
      <c r="Y180" s="8">
        <f>IF(OR($E180="",L180=""),"",IF($E180="LONG",L180-K180,K180-L180))</f>
        <v/>
      </c>
      <c r="AP180" s="7" t="n"/>
    </row>
    <row r="181">
      <c r="H181" s="7" t="n"/>
      <c r="I181" s="7" t="n"/>
      <c r="J181" s="8">
        <f>IF($E181="","",MAX(Settings!$B$7,ROUND(Settings!$B$8*IF($E181="LONG",H181,I181),2)))</f>
        <v/>
      </c>
      <c r="K181" s="8">
        <f>IF($E181="","",IF($E181="LONG",H181+J181,I181-J181))</f>
        <v/>
      </c>
      <c r="L181" s="7" t="n"/>
      <c r="M181" s="8">
        <f>IF($E181="","",IF($E181="LONG",K181-O181,K181+O181))</f>
        <v/>
      </c>
      <c r="N181" s="7" t="n"/>
      <c r="O181" s="8">
        <f>IF(OR($E181="",AP181=""),"",ROUNDUP(ROUND(MAX(IF($E181="LONG",K181-I181,H181-K181),Settings!$B$9*AP181),6),2))</f>
        <v/>
      </c>
      <c r="P181" s="8">
        <f>IF($E181="","",N181*Settings!$B$4)</f>
        <v/>
      </c>
      <c r="Q181" s="9">
        <f>IF(O181="","",MIN(INT(ROUND(P181/O181,6)),INT(ROUND(Settings!$B$5/K181,6))))</f>
        <v/>
      </c>
      <c r="R181" s="8">
        <f>IF(O181="","",Q181*O181)</f>
        <v/>
      </c>
      <c r="S181" s="8">
        <f>IF(O181="","",IF($E181="LONG",K181+Settings!$B$6*O181,K181-Settings!$B$6*O181))</f>
        <v/>
      </c>
      <c r="T181" s="7" t="n"/>
      <c r="V181" s="8">
        <f>IF(OR($E181="",T181=""),"",IF($E181="LONG",(T181-L181)*Q181,(L181-T181)*Q181))</f>
        <v/>
      </c>
      <c r="W181" s="10">
        <f>IF(V181="","",V181/N181)</f>
        <v/>
      </c>
      <c r="X181" s="11">
        <f>IF(V181="","",V181/R181)</f>
        <v/>
      </c>
      <c r="Y181" s="8">
        <f>IF(OR($E181="",L181=""),"",IF($E181="LONG",L181-K181,K181-L181))</f>
        <v/>
      </c>
      <c r="AP181" s="7" t="n"/>
    </row>
    <row r="182">
      <c r="H182" s="7" t="n"/>
      <c r="I182" s="7" t="n"/>
      <c r="J182" s="8">
        <f>IF($E182="","",MAX(Settings!$B$7,ROUND(Settings!$B$8*IF($E182="LONG",H182,I182),2)))</f>
        <v/>
      </c>
      <c r="K182" s="8">
        <f>IF($E182="","",IF($E182="LONG",H182+J182,I182-J182))</f>
        <v/>
      </c>
      <c r="L182" s="7" t="n"/>
      <c r="M182" s="8">
        <f>IF($E182="","",IF($E182="LONG",K182-O182,K182+O182))</f>
        <v/>
      </c>
      <c r="N182" s="7" t="n"/>
      <c r="O182" s="8">
        <f>IF(OR($E182="",AP182=""),"",ROUNDUP(ROUND(MAX(IF($E182="LONG",K182-I182,H182-K182),Settings!$B$9*AP182),6),2))</f>
        <v/>
      </c>
      <c r="P182" s="8">
        <f>IF($E182="","",N182*Settings!$B$4)</f>
        <v/>
      </c>
      <c r="Q182" s="9">
        <f>IF(O182="","",MIN(INT(ROUND(P182/O182,6)),INT(ROUND(Settings!$B$5/K182,6))))</f>
        <v/>
      </c>
      <c r="R182" s="8">
        <f>IF(O182="","",Q182*O182)</f>
        <v/>
      </c>
      <c r="S182" s="8">
        <f>IF(O182="","",IF($E182="LONG",K182+Settings!$B$6*O182,K182-Settings!$B$6*O182))</f>
        <v/>
      </c>
      <c r="T182" s="7" t="n"/>
      <c r="V182" s="8">
        <f>IF(OR($E182="",T182=""),"",IF($E182="LONG",(T182-L182)*Q182,(L182-T182)*Q182))</f>
        <v/>
      </c>
      <c r="W182" s="10">
        <f>IF(V182="","",V182/N182)</f>
        <v/>
      </c>
      <c r="X182" s="11">
        <f>IF(V182="","",V182/R182)</f>
        <v/>
      </c>
      <c r="Y182" s="8">
        <f>IF(OR($E182="",L182=""),"",IF($E182="LONG",L182-K182,K182-L182))</f>
        <v/>
      </c>
      <c r="AP182" s="7" t="n"/>
    </row>
    <row r="183">
      <c r="H183" s="7" t="n"/>
      <c r="I183" s="7" t="n"/>
      <c r="J183" s="8">
        <f>IF($E183="","",MAX(Settings!$B$7,ROUND(Settings!$B$8*IF($E183="LONG",H183,I183),2)))</f>
        <v/>
      </c>
      <c r="K183" s="8">
        <f>IF($E183="","",IF($E183="LONG",H183+J183,I183-J183))</f>
        <v/>
      </c>
      <c r="L183" s="7" t="n"/>
      <c r="M183" s="8">
        <f>IF($E183="","",IF($E183="LONG",K183-O183,K183+O183))</f>
        <v/>
      </c>
      <c r="N183" s="7" t="n"/>
      <c r="O183" s="8">
        <f>IF(OR($E183="",AP183=""),"",ROUNDUP(ROUND(MAX(IF($E183="LONG",K183-I183,H183-K183),Settings!$B$9*AP183),6),2))</f>
        <v/>
      </c>
      <c r="P183" s="8">
        <f>IF($E183="","",N183*Settings!$B$4)</f>
        <v/>
      </c>
      <c r="Q183" s="9">
        <f>IF(O183="","",MIN(INT(ROUND(P183/O183,6)),INT(ROUND(Settings!$B$5/K183,6))))</f>
        <v/>
      </c>
      <c r="R183" s="8">
        <f>IF(O183="","",Q183*O183)</f>
        <v/>
      </c>
      <c r="S183" s="8">
        <f>IF(O183="","",IF($E183="LONG",K183+Settings!$B$6*O183,K183-Settings!$B$6*O183))</f>
        <v/>
      </c>
      <c r="T183" s="7" t="n"/>
      <c r="V183" s="8">
        <f>IF(OR($E183="",T183=""),"",IF($E183="LONG",(T183-L183)*Q183,(L183-T183)*Q183))</f>
        <v/>
      </c>
      <c r="W183" s="10">
        <f>IF(V183="","",V183/N183)</f>
        <v/>
      </c>
      <c r="X183" s="11">
        <f>IF(V183="","",V183/R183)</f>
        <v/>
      </c>
      <c r="Y183" s="8">
        <f>IF(OR($E183="",L183=""),"",IF($E183="LONG",L183-K183,K183-L183))</f>
        <v/>
      </c>
      <c r="AP183" s="7" t="n"/>
    </row>
    <row r="184">
      <c r="H184" s="7" t="n"/>
      <c r="I184" s="7" t="n"/>
      <c r="J184" s="8">
        <f>IF($E184="","",MAX(Settings!$B$7,ROUND(Settings!$B$8*IF($E184="LONG",H184,I184),2)))</f>
        <v/>
      </c>
      <c r="K184" s="8">
        <f>IF($E184="","",IF($E184="LONG",H184+J184,I184-J184))</f>
        <v/>
      </c>
      <c r="L184" s="7" t="n"/>
      <c r="M184" s="8">
        <f>IF($E184="","",IF($E184="LONG",K184-O184,K184+O184))</f>
        <v/>
      </c>
      <c r="N184" s="7" t="n"/>
      <c r="O184" s="8">
        <f>IF(OR($E184="",AP184=""),"",ROUNDUP(ROUND(MAX(IF($E184="LONG",K184-I184,H184-K184),Settings!$B$9*AP184),6),2))</f>
        <v/>
      </c>
      <c r="P184" s="8">
        <f>IF($E184="","",N184*Settings!$B$4)</f>
        <v/>
      </c>
      <c r="Q184" s="9">
        <f>IF(O184="","",MIN(INT(ROUND(P184/O184,6)),INT(ROUND(Settings!$B$5/K184,6))))</f>
        <v/>
      </c>
      <c r="R184" s="8">
        <f>IF(O184="","",Q184*O184)</f>
        <v/>
      </c>
      <c r="S184" s="8">
        <f>IF(O184="","",IF($E184="LONG",K184+Settings!$B$6*O184,K184-Settings!$B$6*O184))</f>
        <v/>
      </c>
      <c r="T184" s="7" t="n"/>
      <c r="V184" s="8">
        <f>IF(OR($E184="",T184=""),"",IF($E184="LONG",(T184-L184)*Q184,(L184-T184)*Q184))</f>
        <v/>
      </c>
      <c r="W184" s="10">
        <f>IF(V184="","",V184/N184)</f>
        <v/>
      </c>
      <c r="X184" s="11">
        <f>IF(V184="","",V184/R184)</f>
        <v/>
      </c>
      <c r="Y184" s="8">
        <f>IF(OR($E184="",L184=""),"",IF($E184="LONG",L184-K184,K184-L184))</f>
        <v/>
      </c>
      <c r="AP184" s="7" t="n"/>
    </row>
    <row r="185">
      <c r="H185" s="7" t="n"/>
      <c r="I185" s="7" t="n"/>
      <c r="J185" s="8">
        <f>IF($E185="","",MAX(Settings!$B$7,ROUND(Settings!$B$8*IF($E185="LONG",H185,I185),2)))</f>
        <v/>
      </c>
      <c r="K185" s="8">
        <f>IF($E185="","",IF($E185="LONG",H185+J185,I185-J185))</f>
        <v/>
      </c>
      <c r="L185" s="7" t="n"/>
      <c r="M185" s="8">
        <f>IF($E185="","",IF($E185="LONG",K185-O185,K185+O185))</f>
        <v/>
      </c>
      <c r="N185" s="7" t="n"/>
      <c r="O185" s="8">
        <f>IF(OR($E185="",AP185=""),"",ROUNDUP(ROUND(MAX(IF($E185="LONG",K185-I185,H185-K185),Settings!$B$9*AP185),6),2))</f>
        <v/>
      </c>
      <c r="P185" s="8">
        <f>IF($E185="","",N185*Settings!$B$4)</f>
        <v/>
      </c>
      <c r="Q185" s="9">
        <f>IF(O185="","",MIN(INT(ROUND(P185/O185,6)),INT(ROUND(Settings!$B$5/K185,6))))</f>
        <v/>
      </c>
      <c r="R185" s="8">
        <f>IF(O185="","",Q185*O185)</f>
        <v/>
      </c>
      <c r="S185" s="8">
        <f>IF(O185="","",IF($E185="LONG",K185+Settings!$B$6*O185,K185-Settings!$B$6*O185))</f>
        <v/>
      </c>
      <c r="T185" s="7" t="n"/>
      <c r="V185" s="8">
        <f>IF(OR($E185="",T185=""),"",IF($E185="LONG",(T185-L185)*Q185,(L185-T185)*Q185))</f>
        <v/>
      </c>
      <c r="W185" s="10">
        <f>IF(V185="","",V185/N185)</f>
        <v/>
      </c>
      <c r="X185" s="11">
        <f>IF(V185="","",V185/R185)</f>
        <v/>
      </c>
      <c r="Y185" s="8">
        <f>IF(OR($E185="",L185=""),"",IF($E185="LONG",L185-K185,K185-L185))</f>
        <v/>
      </c>
      <c r="AP185" s="7" t="n"/>
    </row>
    <row r="186">
      <c r="H186" s="7" t="n"/>
      <c r="I186" s="7" t="n"/>
      <c r="J186" s="8">
        <f>IF($E186="","",MAX(Settings!$B$7,ROUND(Settings!$B$8*IF($E186="LONG",H186,I186),2)))</f>
        <v/>
      </c>
      <c r="K186" s="8">
        <f>IF($E186="","",IF($E186="LONG",H186+J186,I186-J186))</f>
        <v/>
      </c>
      <c r="L186" s="7" t="n"/>
      <c r="M186" s="8">
        <f>IF($E186="","",IF($E186="LONG",K186-O186,K186+O186))</f>
        <v/>
      </c>
      <c r="N186" s="7" t="n"/>
      <c r="O186" s="8">
        <f>IF(OR($E186="",AP186=""),"",ROUNDUP(ROUND(MAX(IF($E186="LONG",K186-I186,H186-K186),Settings!$B$9*AP186),6),2))</f>
        <v/>
      </c>
      <c r="P186" s="8">
        <f>IF($E186="","",N186*Settings!$B$4)</f>
        <v/>
      </c>
      <c r="Q186" s="9">
        <f>IF(O186="","",MIN(INT(ROUND(P186/O186,6)),INT(ROUND(Settings!$B$5/K186,6))))</f>
        <v/>
      </c>
      <c r="R186" s="8">
        <f>IF(O186="","",Q186*O186)</f>
        <v/>
      </c>
      <c r="S186" s="8">
        <f>IF(O186="","",IF($E186="LONG",K186+Settings!$B$6*O186,K186-Settings!$B$6*O186))</f>
        <v/>
      </c>
      <c r="T186" s="7" t="n"/>
      <c r="V186" s="8">
        <f>IF(OR($E186="",T186=""),"",IF($E186="LONG",(T186-L186)*Q186,(L186-T186)*Q186))</f>
        <v/>
      </c>
      <c r="W186" s="10">
        <f>IF(V186="","",V186/N186)</f>
        <v/>
      </c>
      <c r="X186" s="11">
        <f>IF(V186="","",V186/R186)</f>
        <v/>
      </c>
      <c r="Y186" s="8">
        <f>IF(OR($E186="",L186=""),"",IF($E186="LONG",L186-K186,K186-L186))</f>
        <v/>
      </c>
      <c r="AP186" s="7" t="n"/>
    </row>
    <row r="187">
      <c r="H187" s="7" t="n"/>
      <c r="I187" s="7" t="n"/>
      <c r="J187" s="8">
        <f>IF($E187="","",MAX(Settings!$B$7,ROUND(Settings!$B$8*IF($E187="LONG",H187,I187),2)))</f>
        <v/>
      </c>
      <c r="K187" s="8">
        <f>IF($E187="","",IF($E187="LONG",H187+J187,I187-J187))</f>
        <v/>
      </c>
      <c r="L187" s="7" t="n"/>
      <c r="M187" s="8">
        <f>IF($E187="","",IF($E187="LONG",K187-O187,K187+O187))</f>
        <v/>
      </c>
      <c r="N187" s="7" t="n"/>
      <c r="O187" s="8">
        <f>IF(OR($E187="",AP187=""),"",ROUNDUP(ROUND(MAX(IF($E187="LONG",K187-I187,H187-K187),Settings!$B$9*AP187),6),2))</f>
        <v/>
      </c>
      <c r="P187" s="8">
        <f>IF($E187="","",N187*Settings!$B$4)</f>
        <v/>
      </c>
      <c r="Q187" s="9">
        <f>IF(O187="","",MIN(INT(ROUND(P187/O187,6)),INT(ROUND(Settings!$B$5/K187,6))))</f>
        <v/>
      </c>
      <c r="R187" s="8">
        <f>IF(O187="","",Q187*O187)</f>
        <v/>
      </c>
      <c r="S187" s="8">
        <f>IF(O187="","",IF($E187="LONG",K187+Settings!$B$6*O187,K187-Settings!$B$6*O187))</f>
        <v/>
      </c>
      <c r="T187" s="7" t="n"/>
      <c r="V187" s="8">
        <f>IF(OR($E187="",T187=""),"",IF($E187="LONG",(T187-L187)*Q187,(L187-T187)*Q187))</f>
        <v/>
      </c>
      <c r="W187" s="10">
        <f>IF(V187="","",V187/N187)</f>
        <v/>
      </c>
      <c r="X187" s="11">
        <f>IF(V187="","",V187/R187)</f>
        <v/>
      </c>
      <c r="Y187" s="8">
        <f>IF(OR($E187="",L187=""),"",IF($E187="LONG",L187-K187,K187-L187))</f>
        <v/>
      </c>
      <c r="AP187" s="7" t="n"/>
    </row>
    <row r="188">
      <c r="H188" s="7" t="n"/>
      <c r="I188" s="7" t="n"/>
      <c r="J188" s="8">
        <f>IF($E188="","",MAX(Settings!$B$7,ROUND(Settings!$B$8*IF($E188="LONG",H188,I188),2)))</f>
        <v/>
      </c>
      <c r="K188" s="8">
        <f>IF($E188="","",IF($E188="LONG",H188+J188,I188-J188))</f>
        <v/>
      </c>
      <c r="L188" s="7" t="n"/>
      <c r="M188" s="8">
        <f>IF($E188="","",IF($E188="LONG",K188-O188,K188+O188))</f>
        <v/>
      </c>
      <c r="N188" s="7" t="n"/>
      <c r="O188" s="8">
        <f>IF(OR($E188="",AP188=""),"",ROUNDUP(ROUND(MAX(IF($E188="LONG",K188-I188,H188-K188),Settings!$B$9*AP188),6),2))</f>
        <v/>
      </c>
      <c r="P188" s="8">
        <f>IF($E188="","",N188*Settings!$B$4)</f>
        <v/>
      </c>
      <c r="Q188" s="9">
        <f>IF(O188="","",MIN(INT(ROUND(P188/O188,6)),INT(ROUND(Settings!$B$5/K188,6))))</f>
        <v/>
      </c>
      <c r="R188" s="8">
        <f>IF(O188="","",Q188*O188)</f>
        <v/>
      </c>
      <c r="S188" s="8">
        <f>IF(O188="","",IF($E188="LONG",K188+Settings!$B$6*O188,K188-Settings!$B$6*O188))</f>
        <v/>
      </c>
      <c r="T188" s="7" t="n"/>
      <c r="V188" s="8">
        <f>IF(OR($E188="",T188=""),"",IF($E188="LONG",(T188-L188)*Q188,(L188-T188)*Q188))</f>
        <v/>
      </c>
      <c r="W188" s="10">
        <f>IF(V188="","",V188/N188)</f>
        <v/>
      </c>
      <c r="X188" s="11">
        <f>IF(V188="","",V188/R188)</f>
        <v/>
      </c>
      <c r="Y188" s="8">
        <f>IF(OR($E188="",L188=""),"",IF($E188="LONG",L188-K188,K188-L188))</f>
        <v/>
      </c>
      <c r="AP188" s="7" t="n"/>
    </row>
    <row r="189">
      <c r="H189" s="7" t="n"/>
      <c r="I189" s="7" t="n"/>
      <c r="J189" s="8">
        <f>IF($E189="","",MAX(Settings!$B$7,ROUND(Settings!$B$8*IF($E189="LONG",H189,I189),2)))</f>
        <v/>
      </c>
      <c r="K189" s="8">
        <f>IF($E189="","",IF($E189="LONG",H189+J189,I189-J189))</f>
        <v/>
      </c>
      <c r="L189" s="7" t="n"/>
      <c r="M189" s="8">
        <f>IF($E189="","",IF($E189="LONG",K189-O189,K189+O189))</f>
        <v/>
      </c>
      <c r="N189" s="7" t="n"/>
      <c r="O189" s="8">
        <f>IF(OR($E189="",AP189=""),"",ROUNDUP(ROUND(MAX(IF($E189="LONG",K189-I189,H189-K189),Settings!$B$9*AP189),6),2))</f>
        <v/>
      </c>
      <c r="P189" s="8">
        <f>IF($E189="","",N189*Settings!$B$4)</f>
        <v/>
      </c>
      <c r="Q189" s="9">
        <f>IF(O189="","",MIN(INT(ROUND(P189/O189,6)),INT(ROUND(Settings!$B$5/K189,6))))</f>
        <v/>
      </c>
      <c r="R189" s="8">
        <f>IF(O189="","",Q189*O189)</f>
        <v/>
      </c>
      <c r="S189" s="8">
        <f>IF(O189="","",IF($E189="LONG",K189+Settings!$B$6*O189,K189-Settings!$B$6*O189))</f>
        <v/>
      </c>
      <c r="T189" s="7" t="n"/>
      <c r="V189" s="8">
        <f>IF(OR($E189="",T189=""),"",IF($E189="LONG",(T189-L189)*Q189,(L189-T189)*Q189))</f>
        <v/>
      </c>
      <c r="W189" s="10">
        <f>IF(V189="","",V189/N189)</f>
        <v/>
      </c>
      <c r="X189" s="11">
        <f>IF(V189="","",V189/R189)</f>
        <v/>
      </c>
      <c r="Y189" s="8">
        <f>IF(OR($E189="",L189=""),"",IF($E189="LONG",L189-K189,K189-L189))</f>
        <v/>
      </c>
      <c r="AP189" s="7" t="n"/>
    </row>
    <row r="190">
      <c r="H190" s="7" t="n"/>
      <c r="I190" s="7" t="n"/>
      <c r="J190" s="8">
        <f>IF($E190="","",MAX(Settings!$B$7,ROUND(Settings!$B$8*IF($E190="LONG",H190,I190),2)))</f>
        <v/>
      </c>
      <c r="K190" s="8">
        <f>IF($E190="","",IF($E190="LONG",H190+J190,I190-J190))</f>
        <v/>
      </c>
      <c r="L190" s="7" t="n"/>
      <c r="M190" s="8">
        <f>IF($E190="","",IF($E190="LONG",K190-O190,K190+O190))</f>
        <v/>
      </c>
      <c r="N190" s="7" t="n"/>
      <c r="O190" s="8">
        <f>IF(OR($E190="",AP190=""),"",ROUNDUP(ROUND(MAX(IF($E190="LONG",K190-I190,H190-K190),Settings!$B$9*AP190),6),2))</f>
        <v/>
      </c>
      <c r="P190" s="8">
        <f>IF($E190="","",N190*Settings!$B$4)</f>
        <v/>
      </c>
      <c r="Q190" s="9">
        <f>IF(O190="","",MIN(INT(ROUND(P190/O190,6)),INT(ROUND(Settings!$B$5/K190,6))))</f>
        <v/>
      </c>
      <c r="R190" s="8">
        <f>IF(O190="","",Q190*O190)</f>
        <v/>
      </c>
      <c r="S190" s="8">
        <f>IF(O190="","",IF($E190="LONG",K190+Settings!$B$6*O190,K190-Settings!$B$6*O190))</f>
        <v/>
      </c>
      <c r="T190" s="7" t="n"/>
      <c r="V190" s="8">
        <f>IF(OR($E190="",T190=""),"",IF($E190="LONG",(T190-L190)*Q190,(L190-T190)*Q190))</f>
        <v/>
      </c>
      <c r="W190" s="10">
        <f>IF(V190="","",V190/N190)</f>
        <v/>
      </c>
      <c r="X190" s="11">
        <f>IF(V190="","",V190/R190)</f>
        <v/>
      </c>
      <c r="Y190" s="8">
        <f>IF(OR($E190="",L190=""),"",IF($E190="LONG",L190-K190,K190-L190))</f>
        <v/>
      </c>
      <c r="AP190" s="7" t="n"/>
    </row>
    <row r="191">
      <c r="H191" s="7" t="n"/>
      <c r="I191" s="7" t="n"/>
      <c r="J191" s="8">
        <f>IF($E191="","",MAX(Settings!$B$7,ROUND(Settings!$B$8*IF($E191="LONG",H191,I191),2)))</f>
        <v/>
      </c>
      <c r="K191" s="8">
        <f>IF($E191="","",IF($E191="LONG",H191+J191,I191-J191))</f>
        <v/>
      </c>
      <c r="L191" s="7" t="n"/>
      <c r="M191" s="8">
        <f>IF($E191="","",IF($E191="LONG",K191-O191,K191+O191))</f>
        <v/>
      </c>
      <c r="N191" s="7" t="n"/>
      <c r="O191" s="8">
        <f>IF(OR($E191="",AP191=""),"",ROUNDUP(ROUND(MAX(IF($E191="LONG",K191-I191,H191-K191),Settings!$B$9*AP191),6),2))</f>
        <v/>
      </c>
      <c r="P191" s="8">
        <f>IF($E191="","",N191*Settings!$B$4)</f>
        <v/>
      </c>
      <c r="Q191" s="9">
        <f>IF(O191="","",MIN(INT(ROUND(P191/O191,6)),INT(ROUND(Settings!$B$5/K191,6))))</f>
        <v/>
      </c>
      <c r="R191" s="8">
        <f>IF(O191="","",Q191*O191)</f>
        <v/>
      </c>
      <c r="S191" s="8">
        <f>IF(O191="","",IF($E191="LONG",K191+Settings!$B$6*O191,K191-Settings!$B$6*O191))</f>
        <v/>
      </c>
      <c r="T191" s="7" t="n"/>
      <c r="V191" s="8">
        <f>IF(OR($E191="",T191=""),"",IF($E191="LONG",(T191-L191)*Q191,(L191-T191)*Q191))</f>
        <v/>
      </c>
      <c r="W191" s="10">
        <f>IF(V191="","",V191/N191)</f>
        <v/>
      </c>
      <c r="X191" s="11">
        <f>IF(V191="","",V191/R191)</f>
        <v/>
      </c>
      <c r="Y191" s="8">
        <f>IF(OR($E191="",L191=""),"",IF($E191="LONG",L191-K191,K191-L191))</f>
        <v/>
      </c>
      <c r="AP191" s="7" t="n"/>
    </row>
    <row r="192">
      <c r="H192" s="7" t="n"/>
      <c r="I192" s="7" t="n"/>
      <c r="J192" s="8">
        <f>IF($E192="","",MAX(Settings!$B$7,ROUND(Settings!$B$8*IF($E192="LONG",H192,I192),2)))</f>
        <v/>
      </c>
      <c r="K192" s="8">
        <f>IF($E192="","",IF($E192="LONG",H192+J192,I192-J192))</f>
        <v/>
      </c>
      <c r="L192" s="7" t="n"/>
      <c r="M192" s="8">
        <f>IF($E192="","",IF($E192="LONG",K192-O192,K192+O192))</f>
        <v/>
      </c>
      <c r="N192" s="7" t="n"/>
      <c r="O192" s="8">
        <f>IF(OR($E192="",AP192=""),"",ROUNDUP(ROUND(MAX(IF($E192="LONG",K192-I192,H192-K192),Settings!$B$9*AP192),6),2))</f>
        <v/>
      </c>
      <c r="P192" s="8">
        <f>IF($E192="","",N192*Settings!$B$4)</f>
        <v/>
      </c>
      <c r="Q192" s="9">
        <f>IF(O192="","",MIN(INT(ROUND(P192/O192,6)),INT(ROUND(Settings!$B$5/K192,6))))</f>
        <v/>
      </c>
      <c r="R192" s="8">
        <f>IF(O192="","",Q192*O192)</f>
        <v/>
      </c>
      <c r="S192" s="8">
        <f>IF(O192="","",IF($E192="LONG",K192+Settings!$B$6*O192,K192-Settings!$B$6*O192))</f>
        <v/>
      </c>
      <c r="T192" s="7" t="n"/>
      <c r="V192" s="8">
        <f>IF(OR($E192="",T192=""),"",IF($E192="LONG",(T192-L192)*Q192,(L192-T192)*Q192))</f>
        <v/>
      </c>
      <c r="W192" s="10">
        <f>IF(V192="","",V192/N192)</f>
        <v/>
      </c>
      <c r="X192" s="11">
        <f>IF(V192="","",V192/R192)</f>
        <v/>
      </c>
      <c r="Y192" s="8">
        <f>IF(OR($E192="",L192=""),"",IF($E192="LONG",L192-K192,K192-L192))</f>
        <v/>
      </c>
      <c r="AP192" s="7" t="n"/>
    </row>
    <row r="193">
      <c r="H193" s="7" t="n"/>
      <c r="I193" s="7" t="n"/>
      <c r="J193" s="8">
        <f>IF($E193="","",MAX(Settings!$B$7,ROUND(Settings!$B$8*IF($E193="LONG",H193,I193),2)))</f>
        <v/>
      </c>
      <c r="K193" s="8">
        <f>IF($E193="","",IF($E193="LONG",H193+J193,I193-J193))</f>
        <v/>
      </c>
      <c r="L193" s="7" t="n"/>
      <c r="M193" s="8">
        <f>IF($E193="","",IF($E193="LONG",K193-O193,K193+O193))</f>
        <v/>
      </c>
      <c r="N193" s="7" t="n"/>
      <c r="O193" s="8">
        <f>IF(OR($E193="",AP193=""),"",ROUNDUP(ROUND(MAX(IF($E193="LONG",K193-I193,H193-K193),Settings!$B$9*AP193),6),2))</f>
        <v/>
      </c>
      <c r="P193" s="8">
        <f>IF($E193="","",N193*Settings!$B$4)</f>
        <v/>
      </c>
      <c r="Q193" s="9">
        <f>IF(O193="","",MIN(INT(ROUND(P193/O193,6)),INT(ROUND(Settings!$B$5/K193,6))))</f>
        <v/>
      </c>
      <c r="R193" s="8">
        <f>IF(O193="","",Q193*O193)</f>
        <v/>
      </c>
      <c r="S193" s="8">
        <f>IF(O193="","",IF($E193="LONG",K193+Settings!$B$6*O193,K193-Settings!$B$6*O193))</f>
        <v/>
      </c>
      <c r="T193" s="7" t="n"/>
      <c r="V193" s="8">
        <f>IF(OR($E193="",T193=""),"",IF($E193="LONG",(T193-L193)*Q193,(L193-T193)*Q193))</f>
        <v/>
      </c>
      <c r="W193" s="10">
        <f>IF(V193="","",V193/N193)</f>
        <v/>
      </c>
      <c r="X193" s="11">
        <f>IF(V193="","",V193/R193)</f>
        <v/>
      </c>
      <c r="Y193" s="8">
        <f>IF(OR($E193="",L193=""),"",IF($E193="LONG",L193-K193,K193-L193))</f>
        <v/>
      </c>
      <c r="AP193" s="7" t="n"/>
    </row>
    <row r="194">
      <c r="H194" s="7" t="n"/>
      <c r="I194" s="7" t="n"/>
      <c r="J194" s="8">
        <f>IF($E194="","",MAX(Settings!$B$7,ROUND(Settings!$B$8*IF($E194="LONG",H194,I194),2)))</f>
        <v/>
      </c>
      <c r="K194" s="8">
        <f>IF($E194="","",IF($E194="LONG",H194+J194,I194-J194))</f>
        <v/>
      </c>
      <c r="L194" s="7" t="n"/>
      <c r="M194" s="8">
        <f>IF($E194="","",IF($E194="LONG",K194-O194,K194+O194))</f>
        <v/>
      </c>
      <c r="N194" s="7" t="n"/>
      <c r="O194" s="8">
        <f>IF(OR($E194="",AP194=""),"",ROUNDUP(ROUND(MAX(IF($E194="LONG",K194-I194,H194-K194),Settings!$B$9*AP194),6),2))</f>
        <v/>
      </c>
      <c r="P194" s="8">
        <f>IF($E194="","",N194*Settings!$B$4)</f>
        <v/>
      </c>
      <c r="Q194" s="9">
        <f>IF(O194="","",MIN(INT(ROUND(P194/O194,6)),INT(ROUND(Settings!$B$5/K194,6))))</f>
        <v/>
      </c>
      <c r="R194" s="8">
        <f>IF(O194="","",Q194*O194)</f>
        <v/>
      </c>
      <c r="S194" s="8">
        <f>IF(O194="","",IF($E194="LONG",K194+Settings!$B$6*O194,K194-Settings!$B$6*O194))</f>
        <v/>
      </c>
      <c r="T194" s="7" t="n"/>
      <c r="V194" s="8">
        <f>IF(OR($E194="",T194=""),"",IF($E194="LONG",(T194-L194)*Q194,(L194-T194)*Q194))</f>
        <v/>
      </c>
      <c r="W194" s="10">
        <f>IF(V194="","",V194/N194)</f>
        <v/>
      </c>
      <c r="X194" s="11">
        <f>IF(V194="","",V194/R194)</f>
        <v/>
      </c>
      <c r="Y194" s="8">
        <f>IF(OR($E194="",L194=""),"",IF($E194="LONG",L194-K194,K194-L194))</f>
        <v/>
      </c>
      <c r="AP194" s="7" t="n"/>
    </row>
    <row r="195">
      <c r="H195" s="7" t="n"/>
      <c r="I195" s="7" t="n"/>
      <c r="J195" s="8">
        <f>IF($E195="","",MAX(Settings!$B$7,ROUND(Settings!$B$8*IF($E195="LONG",H195,I195),2)))</f>
        <v/>
      </c>
      <c r="K195" s="8">
        <f>IF($E195="","",IF($E195="LONG",H195+J195,I195-J195))</f>
        <v/>
      </c>
      <c r="L195" s="7" t="n"/>
      <c r="M195" s="8">
        <f>IF($E195="","",IF($E195="LONG",K195-O195,K195+O195))</f>
        <v/>
      </c>
      <c r="N195" s="7" t="n"/>
      <c r="O195" s="8">
        <f>IF(OR($E195="",AP195=""),"",ROUNDUP(ROUND(MAX(IF($E195="LONG",K195-I195,H195-K195),Settings!$B$9*AP195),6),2))</f>
        <v/>
      </c>
      <c r="P195" s="8">
        <f>IF($E195="","",N195*Settings!$B$4)</f>
        <v/>
      </c>
      <c r="Q195" s="9">
        <f>IF(O195="","",MIN(INT(ROUND(P195/O195,6)),INT(ROUND(Settings!$B$5/K195,6))))</f>
        <v/>
      </c>
      <c r="R195" s="8">
        <f>IF(O195="","",Q195*O195)</f>
        <v/>
      </c>
      <c r="S195" s="8">
        <f>IF(O195="","",IF($E195="LONG",K195+Settings!$B$6*O195,K195-Settings!$B$6*O195))</f>
        <v/>
      </c>
      <c r="T195" s="7" t="n"/>
      <c r="V195" s="8">
        <f>IF(OR($E195="",T195=""),"",IF($E195="LONG",(T195-L195)*Q195,(L195-T195)*Q195))</f>
        <v/>
      </c>
      <c r="W195" s="10">
        <f>IF(V195="","",V195/N195)</f>
        <v/>
      </c>
      <c r="X195" s="11">
        <f>IF(V195="","",V195/R195)</f>
        <v/>
      </c>
      <c r="Y195" s="8">
        <f>IF(OR($E195="",L195=""),"",IF($E195="LONG",L195-K195,K195-L195))</f>
        <v/>
      </c>
      <c r="AP195" s="7" t="n"/>
    </row>
    <row r="196">
      <c r="H196" s="7" t="n"/>
      <c r="I196" s="7" t="n"/>
      <c r="J196" s="8">
        <f>IF($E196="","",MAX(Settings!$B$7,ROUND(Settings!$B$8*IF($E196="LONG",H196,I196),2)))</f>
        <v/>
      </c>
      <c r="K196" s="8">
        <f>IF($E196="","",IF($E196="LONG",H196+J196,I196-J196))</f>
        <v/>
      </c>
      <c r="L196" s="7" t="n"/>
      <c r="M196" s="8">
        <f>IF($E196="","",IF($E196="LONG",K196-O196,K196+O196))</f>
        <v/>
      </c>
      <c r="N196" s="7" t="n"/>
      <c r="O196" s="8">
        <f>IF(OR($E196="",AP196=""),"",ROUNDUP(ROUND(MAX(IF($E196="LONG",K196-I196,H196-K196),Settings!$B$9*AP196),6),2))</f>
        <v/>
      </c>
      <c r="P196" s="8">
        <f>IF($E196="","",N196*Settings!$B$4)</f>
        <v/>
      </c>
      <c r="Q196" s="9">
        <f>IF(O196="","",MIN(INT(ROUND(P196/O196,6)),INT(ROUND(Settings!$B$5/K196,6))))</f>
        <v/>
      </c>
      <c r="R196" s="8">
        <f>IF(O196="","",Q196*O196)</f>
        <v/>
      </c>
      <c r="S196" s="8">
        <f>IF(O196="","",IF($E196="LONG",K196+Settings!$B$6*O196,K196-Settings!$B$6*O196))</f>
        <v/>
      </c>
      <c r="T196" s="7" t="n"/>
      <c r="V196" s="8">
        <f>IF(OR($E196="",T196=""),"",IF($E196="LONG",(T196-L196)*Q196,(L196-T196)*Q196))</f>
        <v/>
      </c>
      <c r="W196" s="10">
        <f>IF(V196="","",V196/N196)</f>
        <v/>
      </c>
      <c r="X196" s="11">
        <f>IF(V196="","",V196/R196)</f>
        <v/>
      </c>
      <c r="Y196" s="8">
        <f>IF(OR($E196="",L196=""),"",IF($E196="LONG",L196-K196,K196-L196))</f>
        <v/>
      </c>
      <c r="AP196" s="7" t="n"/>
    </row>
    <row r="197">
      <c r="H197" s="7" t="n"/>
      <c r="I197" s="7" t="n"/>
      <c r="J197" s="8">
        <f>IF($E197="","",MAX(Settings!$B$7,ROUND(Settings!$B$8*IF($E197="LONG",H197,I197),2)))</f>
        <v/>
      </c>
      <c r="K197" s="8">
        <f>IF($E197="","",IF($E197="LONG",H197+J197,I197-J197))</f>
        <v/>
      </c>
      <c r="L197" s="7" t="n"/>
      <c r="M197" s="8">
        <f>IF($E197="","",IF($E197="LONG",K197-O197,K197+O197))</f>
        <v/>
      </c>
      <c r="N197" s="7" t="n"/>
      <c r="O197" s="8">
        <f>IF(OR($E197="",AP197=""),"",ROUNDUP(ROUND(MAX(IF($E197="LONG",K197-I197,H197-K197),Settings!$B$9*AP197),6),2))</f>
        <v/>
      </c>
      <c r="P197" s="8">
        <f>IF($E197="","",N197*Settings!$B$4)</f>
        <v/>
      </c>
      <c r="Q197" s="9">
        <f>IF(O197="","",MIN(INT(ROUND(P197/O197,6)),INT(ROUND(Settings!$B$5/K197,6))))</f>
        <v/>
      </c>
      <c r="R197" s="8">
        <f>IF(O197="","",Q197*O197)</f>
        <v/>
      </c>
      <c r="S197" s="8">
        <f>IF(O197="","",IF($E197="LONG",K197+Settings!$B$6*O197,K197-Settings!$B$6*O197))</f>
        <v/>
      </c>
      <c r="T197" s="7" t="n"/>
      <c r="V197" s="8">
        <f>IF(OR($E197="",T197=""),"",IF($E197="LONG",(T197-L197)*Q197,(L197-T197)*Q197))</f>
        <v/>
      </c>
      <c r="W197" s="10">
        <f>IF(V197="","",V197/N197)</f>
        <v/>
      </c>
      <c r="X197" s="11">
        <f>IF(V197="","",V197/R197)</f>
        <v/>
      </c>
      <c r="Y197" s="8">
        <f>IF(OR($E197="",L197=""),"",IF($E197="LONG",L197-K197,K197-L197))</f>
        <v/>
      </c>
      <c r="AP197" s="7" t="n"/>
    </row>
    <row r="198">
      <c r="H198" s="7" t="n"/>
      <c r="I198" s="7" t="n"/>
      <c r="J198" s="8">
        <f>IF($E198="","",MAX(Settings!$B$7,ROUND(Settings!$B$8*IF($E198="LONG",H198,I198),2)))</f>
        <v/>
      </c>
      <c r="K198" s="8">
        <f>IF($E198="","",IF($E198="LONG",H198+J198,I198-J198))</f>
        <v/>
      </c>
      <c r="L198" s="7" t="n"/>
      <c r="M198" s="8">
        <f>IF($E198="","",IF($E198="LONG",K198-O198,K198+O198))</f>
        <v/>
      </c>
      <c r="N198" s="7" t="n"/>
      <c r="O198" s="8">
        <f>IF(OR($E198="",AP198=""),"",ROUNDUP(ROUND(MAX(IF($E198="LONG",K198-I198,H198-K198),Settings!$B$9*AP198),6),2))</f>
        <v/>
      </c>
      <c r="P198" s="8">
        <f>IF($E198="","",N198*Settings!$B$4)</f>
        <v/>
      </c>
      <c r="Q198" s="9">
        <f>IF(O198="","",MIN(INT(ROUND(P198/O198,6)),INT(ROUND(Settings!$B$5/K198,6))))</f>
        <v/>
      </c>
      <c r="R198" s="8">
        <f>IF(O198="","",Q198*O198)</f>
        <v/>
      </c>
      <c r="S198" s="8">
        <f>IF(O198="","",IF($E198="LONG",K198+Settings!$B$6*O198,K198-Settings!$B$6*O198))</f>
        <v/>
      </c>
      <c r="T198" s="7" t="n"/>
      <c r="V198" s="8">
        <f>IF(OR($E198="",T198=""),"",IF($E198="LONG",(T198-L198)*Q198,(L198-T198)*Q198))</f>
        <v/>
      </c>
      <c r="W198" s="10">
        <f>IF(V198="","",V198/N198)</f>
        <v/>
      </c>
      <c r="X198" s="11">
        <f>IF(V198="","",V198/R198)</f>
        <v/>
      </c>
      <c r="Y198" s="8">
        <f>IF(OR($E198="",L198=""),"",IF($E198="LONG",L198-K198,K198-L198))</f>
        <v/>
      </c>
      <c r="AP198" s="7" t="n"/>
    </row>
    <row r="199">
      <c r="H199" s="7" t="n"/>
      <c r="I199" s="7" t="n"/>
      <c r="J199" s="8">
        <f>IF($E199="","",MAX(Settings!$B$7,ROUND(Settings!$B$8*IF($E199="LONG",H199,I199),2)))</f>
        <v/>
      </c>
      <c r="K199" s="8">
        <f>IF($E199="","",IF($E199="LONG",H199+J199,I199-J199))</f>
        <v/>
      </c>
      <c r="L199" s="7" t="n"/>
      <c r="M199" s="8">
        <f>IF($E199="","",IF($E199="LONG",K199-O199,K199+O199))</f>
        <v/>
      </c>
      <c r="N199" s="7" t="n"/>
      <c r="O199" s="8">
        <f>IF(OR($E199="",AP199=""),"",ROUNDUP(ROUND(MAX(IF($E199="LONG",K199-I199,H199-K199),Settings!$B$9*AP199),6),2))</f>
        <v/>
      </c>
      <c r="P199" s="8">
        <f>IF($E199="","",N199*Settings!$B$4)</f>
        <v/>
      </c>
      <c r="Q199" s="9">
        <f>IF(O199="","",MIN(INT(ROUND(P199/O199,6)),INT(ROUND(Settings!$B$5/K199,6))))</f>
        <v/>
      </c>
      <c r="R199" s="8">
        <f>IF(O199="","",Q199*O199)</f>
        <v/>
      </c>
      <c r="S199" s="8">
        <f>IF(O199="","",IF($E199="LONG",K199+Settings!$B$6*O199,K199-Settings!$B$6*O199))</f>
        <v/>
      </c>
      <c r="T199" s="7" t="n"/>
      <c r="V199" s="8">
        <f>IF(OR($E199="",T199=""),"",IF($E199="LONG",(T199-L199)*Q199,(L199-T199)*Q199))</f>
        <v/>
      </c>
      <c r="W199" s="10">
        <f>IF(V199="","",V199/N199)</f>
        <v/>
      </c>
      <c r="X199" s="11">
        <f>IF(V199="","",V199/R199)</f>
        <v/>
      </c>
      <c r="Y199" s="8">
        <f>IF(OR($E199="",L199=""),"",IF($E199="LONG",L199-K199,K199-L199))</f>
        <v/>
      </c>
      <c r="AP199" s="7" t="n"/>
    </row>
    <row r="200">
      <c r="H200" s="7" t="n"/>
      <c r="I200" s="7" t="n"/>
      <c r="J200" s="8">
        <f>IF($E200="","",MAX(Settings!$B$7,ROUND(Settings!$B$8*IF($E200="LONG",H200,I200),2)))</f>
        <v/>
      </c>
      <c r="K200" s="8">
        <f>IF($E200="","",IF($E200="LONG",H200+J200,I200-J200))</f>
        <v/>
      </c>
      <c r="L200" s="7" t="n"/>
      <c r="M200" s="8">
        <f>IF($E200="","",IF($E200="LONG",K200-O200,K200+O200))</f>
        <v/>
      </c>
      <c r="N200" s="7" t="n"/>
      <c r="O200" s="8">
        <f>IF(OR($E200="",AP200=""),"",ROUNDUP(ROUND(MAX(IF($E200="LONG",K200-I200,H200-K200),Settings!$B$9*AP200),6),2))</f>
        <v/>
      </c>
      <c r="P200" s="8">
        <f>IF($E200="","",N200*Settings!$B$4)</f>
        <v/>
      </c>
      <c r="Q200" s="9">
        <f>IF(O200="","",MIN(INT(ROUND(P200/O200,6)),INT(ROUND(Settings!$B$5/K200,6))))</f>
        <v/>
      </c>
      <c r="R200" s="8">
        <f>IF(O200="","",Q200*O200)</f>
        <v/>
      </c>
      <c r="S200" s="8">
        <f>IF(O200="","",IF($E200="LONG",K200+Settings!$B$6*O200,K200-Settings!$B$6*O200))</f>
        <v/>
      </c>
      <c r="T200" s="7" t="n"/>
      <c r="V200" s="8">
        <f>IF(OR($E200="",T200=""),"",IF($E200="LONG",(T200-L200)*Q200,(L200-T200)*Q200))</f>
        <v/>
      </c>
      <c r="W200" s="10">
        <f>IF(V200="","",V200/N200)</f>
        <v/>
      </c>
      <c r="X200" s="11">
        <f>IF(V200="","",V200/R200)</f>
        <v/>
      </c>
      <c r="Y200" s="8">
        <f>IF(OR($E200="",L200=""),"",IF($E200="LONG",L200-K200,K200-L200))</f>
        <v/>
      </c>
      <c r="AP200" s="7" t="n"/>
    </row>
    <row r="201">
      <c r="H201" s="7" t="n"/>
      <c r="I201" s="7" t="n"/>
      <c r="J201" s="8">
        <f>IF($E201="","",MAX(Settings!$B$7,ROUND(Settings!$B$8*IF($E201="LONG",H201,I201),2)))</f>
        <v/>
      </c>
      <c r="K201" s="8">
        <f>IF($E201="","",IF($E201="LONG",H201+J201,I201-J201))</f>
        <v/>
      </c>
      <c r="L201" s="7" t="n"/>
      <c r="M201" s="8">
        <f>IF($E201="","",IF($E201="LONG",K201-O201,K201+O201))</f>
        <v/>
      </c>
      <c r="N201" s="7" t="n"/>
      <c r="O201" s="8">
        <f>IF(OR($E201="",AP201=""),"",ROUNDUP(ROUND(MAX(IF($E201="LONG",K201-I201,H201-K201),Settings!$B$9*AP201),6),2))</f>
        <v/>
      </c>
      <c r="P201" s="8">
        <f>IF($E201="","",N201*Settings!$B$4)</f>
        <v/>
      </c>
      <c r="Q201" s="9">
        <f>IF(O201="","",MIN(INT(ROUND(P201/O201,6)),INT(ROUND(Settings!$B$5/K201,6))))</f>
        <v/>
      </c>
      <c r="R201" s="8">
        <f>IF(O201="","",Q201*O201)</f>
        <v/>
      </c>
      <c r="S201" s="8">
        <f>IF(O201="","",IF($E201="LONG",K201+Settings!$B$6*O201,K201-Settings!$B$6*O201))</f>
        <v/>
      </c>
      <c r="T201" s="7" t="n"/>
      <c r="V201" s="8">
        <f>IF(OR($E201="",T201=""),"",IF($E201="LONG",(T201-L201)*Q201,(L201-T201)*Q201))</f>
        <v/>
      </c>
      <c r="W201" s="10">
        <f>IF(V201="","",V201/N201)</f>
        <v/>
      </c>
      <c r="X201" s="11">
        <f>IF(V201="","",V201/R201)</f>
        <v/>
      </c>
      <c r="Y201" s="8">
        <f>IF(OR($E201="",L201=""),"",IF($E201="LONG",L201-K201,K201-L201))</f>
        <v/>
      </c>
      <c r="AP201" s="7" t="n"/>
    </row>
    <row r="202">
      <c r="H202" s="7" t="n"/>
      <c r="I202" s="7" t="n"/>
      <c r="J202" s="8">
        <f>IF($E202="","",MAX(Settings!$B$7,ROUND(Settings!$B$8*IF($E202="LONG",H202,I202),2)))</f>
        <v/>
      </c>
      <c r="K202" s="8">
        <f>IF($E202="","",IF($E202="LONG",H202+J202,I202-J202))</f>
        <v/>
      </c>
      <c r="L202" s="7" t="n"/>
      <c r="M202" s="8">
        <f>IF($E202="","",IF($E202="LONG",K202-O202,K202+O202))</f>
        <v/>
      </c>
      <c r="N202" s="7" t="n"/>
      <c r="O202" s="8">
        <f>IF(OR($E202="",AP202=""),"",ROUNDUP(ROUND(MAX(IF($E202="LONG",K202-I202,H202-K202),Settings!$B$9*AP202),6),2))</f>
        <v/>
      </c>
      <c r="P202" s="8">
        <f>IF($E202="","",N202*Settings!$B$4)</f>
        <v/>
      </c>
      <c r="Q202" s="9">
        <f>IF(O202="","",MIN(INT(ROUND(P202/O202,6)),INT(ROUND(Settings!$B$5/K202,6))))</f>
        <v/>
      </c>
      <c r="R202" s="8">
        <f>IF(O202="","",Q202*O202)</f>
        <v/>
      </c>
      <c r="S202" s="8">
        <f>IF(O202="","",IF($E202="LONG",K202+Settings!$B$6*O202,K202-Settings!$B$6*O202))</f>
        <v/>
      </c>
      <c r="T202" s="7" t="n"/>
      <c r="V202" s="8">
        <f>IF(OR($E202="",T202=""),"",IF($E202="LONG",(T202-L202)*Q202,(L202-T202)*Q202))</f>
        <v/>
      </c>
      <c r="W202" s="10">
        <f>IF(V202="","",V202/N202)</f>
        <v/>
      </c>
      <c r="X202" s="11">
        <f>IF(V202="","",V202/R202)</f>
        <v/>
      </c>
      <c r="Y202" s="8">
        <f>IF(OR($E202="",L202=""),"",IF($E202="LONG",L202-K202,K202-L202))</f>
        <v/>
      </c>
      <c r="AP202" s="7" t="n"/>
    </row>
    <row r="203">
      <c r="H203" s="7" t="n"/>
      <c r="I203" s="7" t="n"/>
      <c r="J203" s="8">
        <f>IF($E203="","",MAX(Settings!$B$7,ROUND(Settings!$B$8*IF($E203="LONG",H203,I203),2)))</f>
        <v/>
      </c>
      <c r="K203" s="8">
        <f>IF($E203="","",IF($E203="LONG",H203+J203,I203-J203))</f>
        <v/>
      </c>
      <c r="L203" s="7" t="n"/>
      <c r="M203" s="8">
        <f>IF($E203="","",IF($E203="LONG",K203-O203,K203+O203))</f>
        <v/>
      </c>
      <c r="N203" s="7" t="n"/>
      <c r="O203" s="8">
        <f>IF(OR($E203="",AP203=""),"",ROUNDUP(ROUND(MAX(IF($E203="LONG",K203-I203,H203-K203),Settings!$B$9*AP203),6),2))</f>
        <v/>
      </c>
      <c r="P203" s="8">
        <f>IF($E203="","",N203*Settings!$B$4)</f>
        <v/>
      </c>
      <c r="Q203" s="9">
        <f>IF(O203="","",MIN(INT(ROUND(P203/O203,6)),INT(ROUND(Settings!$B$5/K203,6))))</f>
        <v/>
      </c>
      <c r="R203" s="8">
        <f>IF(O203="","",Q203*O203)</f>
        <v/>
      </c>
      <c r="S203" s="8">
        <f>IF(O203="","",IF($E203="LONG",K203+Settings!$B$6*O203,K203-Settings!$B$6*O203))</f>
        <v/>
      </c>
      <c r="T203" s="7" t="n"/>
      <c r="V203" s="8">
        <f>IF(OR($E203="",T203=""),"",IF($E203="LONG",(T203-L203)*Q203,(L203-T203)*Q203))</f>
        <v/>
      </c>
      <c r="W203" s="10">
        <f>IF(V203="","",V203/N203)</f>
        <v/>
      </c>
      <c r="X203" s="11">
        <f>IF(V203="","",V203/R203)</f>
        <v/>
      </c>
      <c r="Y203" s="8">
        <f>IF(OR($E203="",L203=""),"",IF($E203="LONG",L203-K203,K203-L203))</f>
        <v/>
      </c>
      <c r="AP203" s="7" t="n"/>
    </row>
    <row r="204">
      <c r="H204" s="7" t="n"/>
      <c r="I204" s="7" t="n"/>
      <c r="J204" s="8">
        <f>IF($E204="","",MAX(Settings!$B$7,ROUND(Settings!$B$8*IF($E204="LONG",H204,I204),2)))</f>
        <v/>
      </c>
      <c r="K204" s="8">
        <f>IF($E204="","",IF($E204="LONG",H204+J204,I204-J204))</f>
        <v/>
      </c>
      <c r="L204" s="7" t="n"/>
      <c r="M204" s="8">
        <f>IF($E204="","",IF($E204="LONG",K204-O204,K204+O204))</f>
        <v/>
      </c>
      <c r="N204" s="7" t="n"/>
      <c r="O204" s="8">
        <f>IF(OR($E204="",AP204=""),"",ROUNDUP(ROUND(MAX(IF($E204="LONG",K204-I204,H204-K204),Settings!$B$9*AP204),6),2))</f>
        <v/>
      </c>
      <c r="P204" s="8">
        <f>IF($E204="","",N204*Settings!$B$4)</f>
        <v/>
      </c>
      <c r="Q204" s="9">
        <f>IF(O204="","",MIN(INT(ROUND(P204/O204,6)),INT(ROUND(Settings!$B$5/K204,6))))</f>
        <v/>
      </c>
      <c r="R204" s="8">
        <f>IF(O204="","",Q204*O204)</f>
        <v/>
      </c>
      <c r="S204" s="8">
        <f>IF(O204="","",IF($E204="LONG",K204+Settings!$B$6*O204,K204-Settings!$B$6*O204))</f>
        <v/>
      </c>
      <c r="T204" s="7" t="n"/>
      <c r="V204" s="8">
        <f>IF(OR($E204="",T204=""),"",IF($E204="LONG",(T204-L204)*Q204,(L204-T204)*Q204))</f>
        <v/>
      </c>
      <c r="W204" s="10">
        <f>IF(V204="","",V204/N204)</f>
        <v/>
      </c>
      <c r="X204" s="11">
        <f>IF(V204="","",V204/R204)</f>
        <v/>
      </c>
      <c r="Y204" s="8">
        <f>IF(OR($E204="",L204=""),"",IF($E204="LONG",L204-K204,K204-L204))</f>
        <v/>
      </c>
      <c r="AP204" s="7" t="n"/>
    </row>
    <row r="205">
      <c r="H205" s="7" t="n"/>
      <c r="I205" s="7" t="n"/>
      <c r="J205" s="8">
        <f>IF($E205="","",MAX(Settings!$B$7,ROUND(Settings!$B$8*IF($E205="LONG",H205,I205),2)))</f>
        <v/>
      </c>
      <c r="K205" s="8">
        <f>IF($E205="","",IF($E205="LONG",H205+J205,I205-J205))</f>
        <v/>
      </c>
      <c r="L205" s="7" t="n"/>
      <c r="M205" s="8">
        <f>IF($E205="","",IF($E205="LONG",K205-O205,K205+O205))</f>
        <v/>
      </c>
      <c r="N205" s="7" t="n"/>
      <c r="O205" s="8">
        <f>IF(OR($E205="",AP205=""),"",ROUNDUP(ROUND(MAX(IF($E205="LONG",K205-I205,H205-K205),Settings!$B$9*AP205),6),2))</f>
        <v/>
      </c>
      <c r="P205" s="8">
        <f>IF($E205="","",N205*Settings!$B$4)</f>
        <v/>
      </c>
      <c r="Q205" s="9">
        <f>IF(O205="","",MIN(INT(ROUND(P205/O205,6)),INT(ROUND(Settings!$B$5/K205,6))))</f>
        <v/>
      </c>
      <c r="R205" s="8">
        <f>IF(O205="","",Q205*O205)</f>
        <v/>
      </c>
      <c r="S205" s="8">
        <f>IF(O205="","",IF($E205="LONG",K205+Settings!$B$6*O205,K205-Settings!$B$6*O205))</f>
        <v/>
      </c>
      <c r="T205" s="7" t="n"/>
      <c r="V205" s="8">
        <f>IF(OR($E205="",T205=""),"",IF($E205="LONG",(T205-L205)*Q205,(L205-T205)*Q205))</f>
        <v/>
      </c>
      <c r="W205" s="10">
        <f>IF(V205="","",V205/N205)</f>
        <v/>
      </c>
      <c r="X205" s="11">
        <f>IF(V205="","",V205/R205)</f>
        <v/>
      </c>
      <c r="Y205" s="8">
        <f>IF(OR($E205="",L205=""),"",IF($E205="LONG",L205-K205,K205-L205))</f>
        <v/>
      </c>
      <c r="AP205" s="7" t="n"/>
    </row>
    <row r="206">
      <c r="H206" s="7" t="n"/>
      <c r="I206" s="7" t="n"/>
      <c r="J206" s="8">
        <f>IF($E206="","",MAX(Settings!$B$7,ROUND(Settings!$B$8*IF($E206="LONG",H206,I206),2)))</f>
        <v/>
      </c>
      <c r="K206" s="8">
        <f>IF($E206="","",IF($E206="LONG",H206+J206,I206-J206))</f>
        <v/>
      </c>
      <c r="L206" s="7" t="n"/>
      <c r="M206" s="8">
        <f>IF($E206="","",IF($E206="LONG",K206-O206,K206+O206))</f>
        <v/>
      </c>
      <c r="N206" s="7" t="n"/>
      <c r="O206" s="8">
        <f>IF(OR($E206="",AP206=""),"",ROUNDUP(ROUND(MAX(IF($E206="LONG",K206-I206,H206-K206),Settings!$B$9*AP206),6),2))</f>
        <v/>
      </c>
      <c r="P206" s="8">
        <f>IF($E206="","",N206*Settings!$B$4)</f>
        <v/>
      </c>
      <c r="Q206" s="9">
        <f>IF(O206="","",MIN(INT(ROUND(P206/O206,6)),INT(ROUND(Settings!$B$5/K206,6))))</f>
        <v/>
      </c>
      <c r="R206" s="8">
        <f>IF(O206="","",Q206*O206)</f>
        <v/>
      </c>
      <c r="S206" s="8">
        <f>IF(O206="","",IF($E206="LONG",K206+Settings!$B$6*O206,K206-Settings!$B$6*O206))</f>
        <v/>
      </c>
      <c r="T206" s="7" t="n"/>
      <c r="V206" s="8">
        <f>IF(OR($E206="",T206=""),"",IF($E206="LONG",(T206-L206)*Q206,(L206-T206)*Q206))</f>
        <v/>
      </c>
      <c r="W206" s="10">
        <f>IF(V206="","",V206/N206)</f>
        <v/>
      </c>
      <c r="X206" s="11">
        <f>IF(V206="","",V206/R206)</f>
        <v/>
      </c>
      <c r="Y206" s="8">
        <f>IF(OR($E206="",L206=""),"",IF($E206="LONG",L206-K206,K206-L206))</f>
        <v/>
      </c>
      <c r="AP206" s="7" t="n"/>
    </row>
    <row r="207">
      <c r="H207" s="7" t="n"/>
      <c r="I207" s="7" t="n"/>
      <c r="J207" s="8">
        <f>IF($E207="","",MAX(Settings!$B$7,ROUND(Settings!$B$8*IF($E207="LONG",H207,I207),2)))</f>
        <v/>
      </c>
      <c r="K207" s="8">
        <f>IF($E207="","",IF($E207="LONG",H207+J207,I207-J207))</f>
        <v/>
      </c>
      <c r="L207" s="7" t="n"/>
      <c r="M207" s="8">
        <f>IF($E207="","",IF($E207="LONG",K207-O207,K207+O207))</f>
        <v/>
      </c>
      <c r="N207" s="7" t="n"/>
      <c r="O207" s="8">
        <f>IF(OR($E207="",AP207=""),"",ROUNDUP(ROUND(MAX(IF($E207="LONG",K207-I207,H207-K207),Settings!$B$9*AP207),6),2))</f>
        <v/>
      </c>
      <c r="P207" s="8">
        <f>IF($E207="","",N207*Settings!$B$4)</f>
        <v/>
      </c>
      <c r="Q207" s="9">
        <f>IF(O207="","",MIN(INT(ROUND(P207/O207,6)),INT(ROUND(Settings!$B$5/K207,6))))</f>
        <v/>
      </c>
      <c r="R207" s="8">
        <f>IF(O207="","",Q207*O207)</f>
        <v/>
      </c>
      <c r="S207" s="8">
        <f>IF(O207="","",IF($E207="LONG",K207+Settings!$B$6*O207,K207-Settings!$B$6*O207))</f>
        <v/>
      </c>
      <c r="T207" s="7" t="n"/>
      <c r="V207" s="8">
        <f>IF(OR($E207="",T207=""),"",IF($E207="LONG",(T207-L207)*Q207,(L207-T207)*Q207))</f>
        <v/>
      </c>
      <c r="W207" s="10">
        <f>IF(V207="","",V207/N207)</f>
        <v/>
      </c>
      <c r="X207" s="11">
        <f>IF(V207="","",V207/R207)</f>
        <v/>
      </c>
      <c r="Y207" s="8">
        <f>IF(OR($E207="",L207=""),"",IF($E207="LONG",L207-K207,K207-L207))</f>
        <v/>
      </c>
      <c r="AP207" s="7" t="n"/>
    </row>
    <row r="208">
      <c r="H208" s="7" t="n"/>
      <c r="I208" s="7" t="n"/>
      <c r="J208" s="8">
        <f>IF($E208="","",MAX(Settings!$B$7,ROUND(Settings!$B$8*IF($E208="LONG",H208,I208),2)))</f>
        <v/>
      </c>
      <c r="K208" s="8">
        <f>IF($E208="","",IF($E208="LONG",H208+J208,I208-J208))</f>
        <v/>
      </c>
      <c r="L208" s="7" t="n"/>
      <c r="M208" s="8">
        <f>IF($E208="","",IF($E208="LONG",K208-O208,K208+O208))</f>
        <v/>
      </c>
      <c r="N208" s="7" t="n"/>
      <c r="O208" s="8">
        <f>IF(OR($E208="",AP208=""),"",ROUNDUP(ROUND(MAX(IF($E208="LONG",K208-I208,H208-K208),Settings!$B$9*AP208),6),2))</f>
        <v/>
      </c>
      <c r="P208" s="8">
        <f>IF($E208="","",N208*Settings!$B$4)</f>
        <v/>
      </c>
      <c r="Q208" s="9">
        <f>IF(O208="","",MIN(INT(ROUND(P208/O208,6)),INT(ROUND(Settings!$B$5/K208,6))))</f>
        <v/>
      </c>
      <c r="R208" s="8">
        <f>IF(O208="","",Q208*O208)</f>
        <v/>
      </c>
      <c r="S208" s="8">
        <f>IF(O208="","",IF($E208="LONG",K208+Settings!$B$6*O208,K208-Settings!$B$6*O208))</f>
        <v/>
      </c>
      <c r="T208" s="7" t="n"/>
      <c r="V208" s="8">
        <f>IF(OR($E208="",T208=""),"",IF($E208="LONG",(T208-L208)*Q208,(L208-T208)*Q208))</f>
        <v/>
      </c>
      <c r="W208" s="10">
        <f>IF(V208="","",V208/N208)</f>
        <v/>
      </c>
      <c r="X208" s="11">
        <f>IF(V208="","",V208/R208)</f>
        <v/>
      </c>
      <c r="Y208" s="8">
        <f>IF(OR($E208="",L208=""),"",IF($E208="LONG",L208-K208,K208-L208))</f>
        <v/>
      </c>
      <c r="AP208" s="7" t="n"/>
    </row>
    <row r="209">
      <c r="H209" s="7" t="n"/>
      <c r="I209" s="7" t="n"/>
      <c r="J209" s="8">
        <f>IF($E209="","",MAX(Settings!$B$7,ROUND(Settings!$B$8*IF($E209="LONG",H209,I209),2)))</f>
        <v/>
      </c>
      <c r="K209" s="8">
        <f>IF($E209="","",IF($E209="LONG",H209+J209,I209-J209))</f>
        <v/>
      </c>
      <c r="L209" s="7" t="n"/>
      <c r="M209" s="8">
        <f>IF($E209="","",IF($E209="LONG",K209-O209,K209+O209))</f>
        <v/>
      </c>
      <c r="N209" s="7" t="n"/>
      <c r="O209" s="8">
        <f>IF(OR($E209="",AP209=""),"",ROUNDUP(ROUND(MAX(IF($E209="LONG",K209-I209,H209-K209),Settings!$B$9*AP209),6),2))</f>
        <v/>
      </c>
      <c r="P209" s="8">
        <f>IF($E209="","",N209*Settings!$B$4)</f>
        <v/>
      </c>
      <c r="Q209" s="9">
        <f>IF(O209="","",MIN(INT(ROUND(P209/O209,6)),INT(ROUND(Settings!$B$5/K209,6))))</f>
        <v/>
      </c>
      <c r="R209" s="8">
        <f>IF(O209="","",Q209*O209)</f>
        <v/>
      </c>
      <c r="S209" s="8">
        <f>IF(O209="","",IF($E209="LONG",K209+Settings!$B$6*O209,K209-Settings!$B$6*O209))</f>
        <v/>
      </c>
      <c r="T209" s="7" t="n"/>
      <c r="V209" s="8">
        <f>IF(OR($E209="",T209=""),"",IF($E209="LONG",(T209-L209)*Q209,(L209-T209)*Q209))</f>
        <v/>
      </c>
      <c r="W209" s="10">
        <f>IF(V209="","",V209/N209)</f>
        <v/>
      </c>
      <c r="X209" s="11">
        <f>IF(V209="","",V209/R209)</f>
        <v/>
      </c>
      <c r="Y209" s="8">
        <f>IF(OR($E209="",L209=""),"",IF($E209="LONG",L209-K209,K209-L209))</f>
        <v/>
      </c>
      <c r="AP209" s="7" t="n"/>
    </row>
    <row r="210">
      <c r="H210" s="7" t="n"/>
      <c r="I210" s="7" t="n"/>
      <c r="J210" s="8">
        <f>IF($E210="","",MAX(Settings!$B$7,ROUND(Settings!$B$8*IF($E210="LONG",H210,I210),2)))</f>
        <v/>
      </c>
      <c r="K210" s="8">
        <f>IF($E210="","",IF($E210="LONG",H210+J210,I210-J210))</f>
        <v/>
      </c>
      <c r="L210" s="7" t="n"/>
      <c r="M210" s="8">
        <f>IF($E210="","",IF($E210="LONG",K210-O210,K210+O210))</f>
        <v/>
      </c>
      <c r="N210" s="7" t="n"/>
      <c r="O210" s="8">
        <f>IF(OR($E210="",AP210=""),"",ROUNDUP(ROUND(MAX(IF($E210="LONG",K210-I210,H210-K210),Settings!$B$9*AP210),6),2))</f>
        <v/>
      </c>
      <c r="P210" s="8">
        <f>IF($E210="","",N210*Settings!$B$4)</f>
        <v/>
      </c>
      <c r="Q210" s="9">
        <f>IF(O210="","",MIN(INT(ROUND(P210/O210,6)),INT(ROUND(Settings!$B$5/K210,6))))</f>
        <v/>
      </c>
      <c r="R210" s="8">
        <f>IF(O210="","",Q210*O210)</f>
        <v/>
      </c>
      <c r="S210" s="8">
        <f>IF(O210="","",IF($E210="LONG",K210+Settings!$B$6*O210,K210-Settings!$B$6*O210))</f>
        <v/>
      </c>
      <c r="T210" s="7" t="n"/>
      <c r="V210" s="8">
        <f>IF(OR($E210="",T210=""),"",IF($E210="LONG",(T210-L210)*Q210,(L210-T210)*Q210))</f>
        <v/>
      </c>
      <c r="W210" s="10">
        <f>IF(V210="","",V210/N210)</f>
        <v/>
      </c>
      <c r="X210" s="11">
        <f>IF(V210="","",V210/R210)</f>
        <v/>
      </c>
      <c r="Y210" s="8">
        <f>IF(OR($E210="",L210=""),"",IF($E210="LONG",L210-K210,K210-L210))</f>
        <v/>
      </c>
      <c r="AP210" s="7" t="n"/>
    </row>
    <row r="211">
      <c r="H211" s="7" t="n"/>
      <c r="I211" s="7" t="n"/>
      <c r="J211" s="8">
        <f>IF($E211="","",MAX(Settings!$B$7,ROUND(Settings!$B$8*IF($E211="LONG",H211,I211),2)))</f>
        <v/>
      </c>
      <c r="K211" s="8">
        <f>IF($E211="","",IF($E211="LONG",H211+J211,I211-J211))</f>
        <v/>
      </c>
      <c r="L211" s="7" t="n"/>
      <c r="M211" s="8">
        <f>IF($E211="","",IF($E211="LONG",K211-O211,K211+O211))</f>
        <v/>
      </c>
      <c r="N211" s="7" t="n"/>
      <c r="O211" s="8">
        <f>IF(OR($E211="",AP211=""),"",ROUNDUP(ROUND(MAX(IF($E211="LONG",K211-I211,H211-K211),Settings!$B$9*AP211),6),2))</f>
        <v/>
      </c>
      <c r="P211" s="8">
        <f>IF($E211="","",N211*Settings!$B$4)</f>
        <v/>
      </c>
      <c r="Q211" s="9">
        <f>IF(O211="","",MIN(INT(ROUND(P211/O211,6)),INT(ROUND(Settings!$B$5/K211,6))))</f>
        <v/>
      </c>
      <c r="R211" s="8">
        <f>IF(O211="","",Q211*O211)</f>
        <v/>
      </c>
      <c r="S211" s="8">
        <f>IF(O211="","",IF($E211="LONG",K211+Settings!$B$6*O211,K211-Settings!$B$6*O211))</f>
        <v/>
      </c>
      <c r="T211" s="7" t="n"/>
      <c r="V211" s="8">
        <f>IF(OR($E211="",T211=""),"",IF($E211="LONG",(T211-L211)*Q211,(L211-T211)*Q211))</f>
        <v/>
      </c>
      <c r="W211" s="10">
        <f>IF(V211="","",V211/N211)</f>
        <v/>
      </c>
      <c r="X211" s="11">
        <f>IF(V211="","",V211/R211)</f>
        <v/>
      </c>
      <c r="Y211" s="8">
        <f>IF(OR($E211="",L211=""),"",IF($E211="LONG",L211-K211,K211-L211))</f>
        <v/>
      </c>
      <c r="AP211" s="7" t="n"/>
    </row>
    <row r="212">
      <c r="H212" s="7" t="n"/>
      <c r="I212" s="7" t="n"/>
      <c r="J212" s="8">
        <f>IF($E212="","",MAX(Settings!$B$7,ROUND(Settings!$B$8*IF($E212="LONG",H212,I212),2)))</f>
        <v/>
      </c>
      <c r="K212" s="8">
        <f>IF($E212="","",IF($E212="LONG",H212+J212,I212-J212))</f>
        <v/>
      </c>
      <c r="L212" s="7" t="n"/>
      <c r="M212" s="8">
        <f>IF($E212="","",IF($E212="LONG",K212-O212,K212+O212))</f>
        <v/>
      </c>
      <c r="N212" s="7" t="n"/>
      <c r="O212" s="8">
        <f>IF(OR($E212="",AP212=""),"",ROUNDUP(ROUND(MAX(IF($E212="LONG",K212-I212,H212-K212),Settings!$B$9*AP212),6),2))</f>
        <v/>
      </c>
      <c r="P212" s="8">
        <f>IF($E212="","",N212*Settings!$B$4)</f>
        <v/>
      </c>
      <c r="Q212" s="9">
        <f>IF(O212="","",MIN(INT(ROUND(P212/O212,6)),INT(ROUND(Settings!$B$5/K212,6))))</f>
        <v/>
      </c>
      <c r="R212" s="8">
        <f>IF(O212="","",Q212*O212)</f>
        <v/>
      </c>
      <c r="S212" s="8">
        <f>IF(O212="","",IF($E212="LONG",K212+Settings!$B$6*O212,K212-Settings!$B$6*O212))</f>
        <v/>
      </c>
      <c r="T212" s="7" t="n"/>
      <c r="V212" s="8">
        <f>IF(OR($E212="",T212=""),"",IF($E212="LONG",(T212-L212)*Q212,(L212-T212)*Q212))</f>
        <v/>
      </c>
      <c r="W212" s="10">
        <f>IF(V212="","",V212/N212)</f>
        <v/>
      </c>
      <c r="X212" s="11">
        <f>IF(V212="","",V212/R212)</f>
        <v/>
      </c>
      <c r="Y212" s="8">
        <f>IF(OR($E212="",L212=""),"",IF($E212="LONG",L212-K212,K212-L212))</f>
        <v/>
      </c>
      <c r="AP212" s="7" t="n"/>
    </row>
    <row r="213">
      <c r="H213" s="7" t="n"/>
      <c r="I213" s="7" t="n"/>
      <c r="J213" s="8">
        <f>IF($E213="","",MAX(Settings!$B$7,ROUND(Settings!$B$8*IF($E213="LONG",H213,I213),2)))</f>
        <v/>
      </c>
      <c r="K213" s="8">
        <f>IF($E213="","",IF($E213="LONG",H213+J213,I213-J213))</f>
        <v/>
      </c>
      <c r="L213" s="7" t="n"/>
      <c r="M213" s="8">
        <f>IF($E213="","",IF($E213="LONG",K213-O213,K213+O213))</f>
        <v/>
      </c>
      <c r="N213" s="7" t="n"/>
      <c r="O213" s="8">
        <f>IF(OR($E213="",AP213=""),"",ROUNDUP(ROUND(MAX(IF($E213="LONG",K213-I213,H213-K213),Settings!$B$9*AP213),6),2))</f>
        <v/>
      </c>
      <c r="P213" s="8">
        <f>IF($E213="","",N213*Settings!$B$4)</f>
        <v/>
      </c>
      <c r="Q213" s="9">
        <f>IF(O213="","",MIN(INT(ROUND(P213/O213,6)),INT(ROUND(Settings!$B$5/K213,6))))</f>
        <v/>
      </c>
      <c r="R213" s="8">
        <f>IF(O213="","",Q213*O213)</f>
        <v/>
      </c>
      <c r="S213" s="8">
        <f>IF(O213="","",IF($E213="LONG",K213+Settings!$B$6*O213,K213-Settings!$B$6*O213))</f>
        <v/>
      </c>
      <c r="T213" s="7" t="n"/>
      <c r="V213" s="8">
        <f>IF(OR($E213="",T213=""),"",IF($E213="LONG",(T213-L213)*Q213,(L213-T213)*Q213))</f>
        <v/>
      </c>
      <c r="W213" s="10">
        <f>IF(V213="","",V213/N213)</f>
        <v/>
      </c>
      <c r="X213" s="11">
        <f>IF(V213="","",V213/R213)</f>
        <v/>
      </c>
      <c r="Y213" s="8">
        <f>IF(OR($E213="",L213=""),"",IF($E213="LONG",L213-K213,K213-L213))</f>
        <v/>
      </c>
      <c r="AP213" s="7" t="n"/>
    </row>
    <row r="214">
      <c r="H214" s="7" t="n"/>
      <c r="I214" s="7" t="n"/>
      <c r="J214" s="8">
        <f>IF($E214="","",MAX(Settings!$B$7,ROUND(Settings!$B$8*IF($E214="LONG",H214,I214),2)))</f>
        <v/>
      </c>
      <c r="K214" s="8">
        <f>IF($E214="","",IF($E214="LONG",H214+J214,I214-J214))</f>
        <v/>
      </c>
      <c r="L214" s="7" t="n"/>
      <c r="M214" s="8">
        <f>IF($E214="","",IF($E214="LONG",K214-O214,K214+O214))</f>
        <v/>
      </c>
      <c r="N214" s="7" t="n"/>
      <c r="O214" s="8">
        <f>IF(OR($E214="",AP214=""),"",ROUNDUP(ROUND(MAX(IF($E214="LONG",K214-I214,H214-K214),Settings!$B$9*AP214),6),2))</f>
        <v/>
      </c>
      <c r="P214" s="8">
        <f>IF($E214="","",N214*Settings!$B$4)</f>
        <v/>
      </c>
      <c r="Q214" s="9">
        <f>IF(O214="","",MIN(INT(ROUND(P214/O214,6)),INT(ROUND(Settings!$B$5/K214,6))))</f>
        <v/>
      </c>
      <c r="R214" s="8">
        <f>IF(O214="","",Q214*O214)</f>
        <v/>
      </c>
      <c r="S214" s="8">
        <f>IF(O214="","",IF($E214="LONG",K214+Settings!$B$6*O214,K214-Settings!$B$6*O214))</f>
        <v/>
      </c>
      <c r="T214" s="7" t="n"/>
      <c r="V214" s="8">
        <f>IF(OR($E214="",T214=""),"",IF($E214="LONG",(T214-L214)*Q214,(L214-T214)*Q214))</f>
        <v/>
      </c>
      <c r="W214" s="10">
        <f>IF(V214="","",V214/N214)</f>
        <v/>
      </c>
      <c r="X214" s="11">
        <f>IF(V214="","",V214/R214)</f>
        <v/>
      </c>
      <c r="Y214" s="8">
        <f>IF(OR($E214="",L214=""),"",IF($E214="LONG",L214-K214,K214-L214))</f>
        <v/>
      </c>
      <c r="AP214" s="7" t="n"/>
    </row>
    <row r="215">
      <c r="H215" s="7" t="n"/>
      <c r="I215" s="7" t="n"/>
      <c r="J215" s="8">
        <f>IF($E215="","",MAX(Settings!$B$7,ROUND(Settings!$B$8*IF($E215="LONG",H215,I215),2)))</f>
        <v/>
      </c>
      <c r="K215" s="8">
        <f>IF($E215="","",IF($E215="LONG",H215+J215,I215-J215))</f>
        <v/>
      </c>
      <c r="L215" s="7" t="n"/>
      <c r="M215" s="8">
        <f>IF($E215="","",IF($E215="LONG",K215-O215,K215+O215))</f>
        <v/>
      </c>
      <c r="N215" s="7" t="n"/>
      <c r="O215" s="8">
        <f>IF(OR($E215="",AP215=""),"",ROUNDUP(ROUND(MAX(IF($E215="LONG",K215-I215,H215-K215),Settings!$B$9*AP215),6),2))</f>
        <v/>
      </c>
      <c r="P215" s="8">
        <f>IF($E215="","",N215*Settings!$B$4)</f>
        <v/>
      </c>
      <c r="Q215" s="9">
        <f>IF(O215="","",MIN(INT(ROUND(P215/O215,6)),INT(ROUND(Settings!$B$5/K215,6))))</f>
        <v/>
      </c>
      <c r="R215" s="8">
        <f>IF(O215="","",Q215*O215)</f>
        <v/>
      </c>
      <c r="S215" s="8">
        <f>IF(O215="","",IF($E215="LONG",K215+Settings!$B$6*O215,K215-Settings!$B$6*O215))</f>
        <v/>
      </c>
      <c r="T215" s="7" t="n"/>
      <c r="V215" s="8">
        <f>IF(OR($E215="",T215=""),"",IF($E215="LONG",(T215-L215)*Q215,(L215-T215)*Q215))</f>
        <v/>
      </c>
      <c r="W215" s="10">
        <f>IF(V215="","",V215/N215)</f>
        <v/>
      </c>
      <c r="X215" s="11">
        <f>IF(V215="","",V215/R215)</f>
        <v/>
      </c>
      <c r="Y215" s="8">
        <f>IF(OR($E215="",L215=""),"",IF($E215="LONG",L215-K215,K215-L215))</f>
        <v/>
      </c>
      <c r="AP215" s="7" t="n"/>
    </row>
    <row r="216">
      <c r="H216" s="7" t="n"/>
      <c r="I216" s="7" t="n"/>
      <c r="J216" s="8">
        <f>IF($E216="","",MAX(Settings!$B$7,ROUND(Settings!$B$8*IF($E216="LONG",H216,I216),2)))</f>
        <v/>
      </c>
      <c r="K216" s="8">
        <f>IF($E216="","",IF($E216="LONG",H216+J216,I216-J216))</f>
        <v/>
      </c>
      <c r="L216" s="7" t="n"/>
      <c r="M216" s="8">
        <f>IF($E216="","",IF($E216="LONG",K216-O216,K216+O216))</f>
        <v/>
      </c>
      <c r="N216" s="7" t="n"/>
      <c r="O216" s="8">
        <f>IF(OR($E216="",AP216=""),"",ROUNDUP(ROUND(MAX(IF($E216="LONG",K216-I216,H216-K216),Settings!$B$9*AP216),6),2))</f>
        <v/>
      </c>
      <c r="P216" s="8">
        <f>IF($E216="","",N216*Settings!$B$4)</f>
        <v/>
      </c>
      <c r="Q216" s="9">
        <f>IF(O216="","",MIN(INT(ROUND(P216/O216,6)),INT(ROUND(Settings!$B$5/K216,6))))</f>
        <v/>
      </c>
      <c r="R216" s="8">
        <f>IF(O216="","",Q216*O216)</f>
        <v/>
      </c>
      <c r="S216" s="8">
        <f>IF(O216="","",IF($E216="LONG",K216+Settings!$B$6*O216,K216-Settings!$B$6*O216))</f>
        <v/>
      </c>
      <c r="T216" s="7" t="n"/>
      <c r="V216" s="8">
        <f>IF(OR($E216="",T216=""),"",IF($E216="LONG",(T216-L216)*Q216,(L216-T216)*Q216))</f>
        <v/>
      </c>
      <c r="W216" s="10">
        <f>IF(V216="","",V216/N216)</f>
        <v/>
      </c>
      <c r="X216" s="11">
        <f>IF(V216="","",V216/R216)</f>
        <v/>
      </c>
      <c r="Y216" s="8">
        <f>IF(OR($E216="",L216=""),"",IF($E216="LONG",L216-K216,K216-L216))</f>
        <v/>
      </c>
      <c r="AP216" s="7" t="n"/>
    </row>
    <row r="217">
      <c r="H217" s="7" t="n"/>
      <c r="I217" s="7" t="n"/>
      <c r="J217" s="8">
        <f>IF($E217="","",MAX(Settings!$B$7,ROUND(Settings!$B$8*IF($E217="LONG",H217,I217),2)))</f>
        <v/>
      </c>
      <c r="K217" s="8">
        <f>IF($E217="","",IF($E217="LONG",H217+J217,I217-J217))</f>
        <v/>
      </c>
      <c r="L217" s="7" t="n"/>
      <c r="M217" s="8">
        <f>IF($E217="","",IF($E217="LONG",K217-O217,K217+O217))</f>
        <v/>
      </c>
      <c r="N217" s="7" t="n"/>
      <c r="O217" s="8">
        <f>IF(OR($E217="",AP217=""),"",ROUNDUP(ROUND(MAX(IF($E217="LONG",K217-I217,H217-K217),Settings!$B$9*AP217),6),2))</f>
        <v/>
      </c>
      <c r="P217" s="8">
        <f>IF($E217="","",N217*Settings!$B$4)</f>
        <v/>
      </c>
      <c r="Q217" s="9">
        <f>IF(O217="","",MIN(INT(ROUND(P217/O217,6)),INT(ROUND(Settings!$B$5/K217,6))))</f>
        <v/>
      </c>
      <c r="R217" s="8">
        <f>IF(O217="","",Q217*O217)</f>
        <v/>
      </c>
      <c r="S217" s="8">
        <f>IF(O217="","",IF($E217="LONG",K217+Settings!$B$6*O217,K217-Settings!$B$6*O217))</f>
        <v/>
      </c>
      <c r="T217" s="7" t="n"/>
      <c r="V217" s="8">
        <f>IF(OR($E217="",T217=""),"",IF($E217="LONG",(T217-L217)*Q217,(L217-T217)*Q217))</f>
        <v/>
      </c>
      <c r="W217" s="10">
        <f>IF(V217="","",V217/N217)</f>
        <v/>
      </c>
      <c r="X217" s="11">
        <f>IF(V217="","",V217/R217)</f>
        <v/>
      </c>
      <c r="Y217" s="8">
        <f>IF(OR($E217="",L217=""),"",IF($E217="LONG",L217-K217,K217-L217))</f>
        <v/>
      </c>
      <c r="AP217" s="7" t="n"/>
    </row>
    <row r="218">
      <c r="H218" s="7" t="n"/>
      <c r="I218" s="7" t="n"/>
      <c r="J218" s="8">
        <f>IF($E218="","",MAX(Settings!$B$7,ROUND(Settings!$B$8*IF($E218="LONG",H218,I218),2)))</f>
        <v/>
      </c>
      <c r="K218" s="8">
        <f>IF($E218="","",IF($E218="LONG",H218+J218,I218-J218))</f>
        <v/>
      </c>
      <c r="L218" s="7" t="n"/>
      <c r="M218" s="8">
        <f>IF($E218="","",IF($E218="LONG",K218-O218,K218+O218))</f>
        <v/>
      </c>
      <c r="N218" s="7" t="n"/>
      <c r="O218" s="8">
        <f>IF(OR($E218="",AP218=""),"",ROUNDUP(ROUND(MAX(IF($E218="LONG",K218-I218,H218-K218),Settings!$B$9*AP218),6),2))</f>
        <v/>
      </c>
      <c r="P218" s="8">
        <f>IF($E218="","",N218*Settings!$B$4)</f>
        <v/>
      </c>
      <c r="Q218" s="9">
        <f>IF(O218="","",MIN(INT(ROUND(P218/O218,6)),INT(ROUND(Settings!$B$5/K218,6))))</f>
        <v/>
      </c>
      <c r="R218" s="8">
        <f>IF(O218="","",Q218*O218)</f>
        <v/>
      </c>
      <c r="S218" s="8">
        <f>IF(O218="","",IF($E218="LONG",K218+Settings!$B$6*O218,K218-Settings!$B$6*O218))</f>
        <v/>
      </c>
      <c r="T218" s="7" t="n"/>
      <c r="V218" s="8">
        <f>IF(OR($E218="",T218=""),"",IF($E218="LONG",(T218-L218)*Q218,(L218-T218)*Q218))</f>
        <v/>
      </c>
      <c r="W218" s="10">
        <f>IF(V218="","",V218/N218)</f>
        <v/>
      </c>
      <c r="X218" s="11">
        <f>IF(V218="","",V218/R218)</f>
        <v/>
      </c>
      <c r="Y218" s="8">
        <f>IF(OR($E218="",L218=""),"",IF($E218="LONG",L218-K218,K218-L218))</f>
        <v/>
      </c>
      <c r="AP218" s="7" t="n"/>
    </row>
    <row r="219">
      <c r="H219" s="7" t="n"/>
      <c r="I219" s="7" t="n"/>
      <c r="J219" s="8">
        <f>IF($E219="","",MAX(Settings!$B$7,ROUND(Settings!$B$8*IF($E219="LONG",H219,I219),2)))</f>
        <v/>
      </c>
      <c r="K219" s="8">
        <f>IF($E219="","",IF($E219="LONG",H219+J219,I219-J219))</f>
        <v/>
      </c>
      <c r="L219" s="7" t="n"/>
      <c r="M219" s="8">
        <f>IF($E219="","",IF($E219="LONG",K219-O219,K219+O219))</f>
        <v/>
      </c>
      <c r="N219" s="7" t="n"/>
      <c r="O219" s="8">
        <f>IF(OR($E219="",AP219=""),"",ROUNDUP(ROUND(MAX(IF($E219="LONG",K219-I219,H219-K219),Settings!$B$9*AP219),6),2))</f>
        <v/>
      </c>
      <c r="P219" s="8">
        <f>IF($E219="","",N219*Settings!$B$4)</f>
        <v/>
      </c>
      <c r="Q219" s="9">
        <f>IF(O219="","",MIN(INT(ROUND(P219/O219,6)),INT(ROUND(Settings!$B$5/K219,6))))</f>
        <v/>
      </c>
      <c r="R219" s="8">
        <f>IF(O219="","",Q219*O219)</f>
        <v/>
      </c>
      <c r="S219" s="8">
        <f>IF(O219="","",IF($E219="LONG",K219+Settings!$B$6*O219,K219-Settings!$B$6*O219))</f>
        <v/>
      </c>
      <c r="T219" s="7" t="n"/>
      <c r="V219" s="8">
        <f>IF(OR($E219="",T219=""),"",IF($E219="LONG",(T219-L219)*Q219,(L219-T219)*Q219))</f>
        <v/>
      </c>
      <c r="W219" s="10">
        <f>IF(V219="","",V219/N219)</f>
        <v/>
      </c>
      <c r="X219" s="11">
        <f>IF(V219="","",V219/R219)</f>
        <v/>
      </c>
      <c r="Y219" s="8">
        <f>IF(OR($E219="",L219=""),"",IF($E219="LONG",L219-K219,K219-L219))</f>
        <v/>
      </c>
      <c r="AP219" s="7" t="n"/>
    </row>
    <row r="220">
      <c r="H220" s="7" t="n"/>
      <c r="I220" s="7" t="n"/>
      <c r="J220" s="8">
        <f>IF($E220="","",MAX(Settings!$B$7,ROUND(Settings!$B$8*IF($E220="LONG",H220,I220),2)))</f>
        <v/>
      </c>
      <c r="K220" s="8">
        <f>IF($E220="","",IF($E220="LONG",H220+J220,I220-J220))</f>
        <v/>
      </c>
      <c r="L220" s="7" t="n"/>
      <c r="M220" s="8">
        <f>IF($E220="","",IF($E220="LONG",K220-O220,K220+O220))</f>
        <v/>
      </c>
      <c r="N220" s="7" t="n"/>
      <c r="O220" s="8">
        <f>IF(OR($E220="",AP220=""),"",ROUNDUP(ROUND(MAX(IF($E220="LONG",K220-I220,H220-K220),Settings!$B$9*AP220),6),2))</f>
        <v/>
      </c>
      <c r="P220" s="8">
        <f>IF($E220="","",N220*Settings!$B$4)</f>
        <v/>
      </c>
      <c r="Q220" s="9">
        <f>IF(O220="","",MIN(INT(ROUND(P220/O220,6)),INT(ROUND(Settings!$B$5/K220,6))))</f>
        <v/>
      </c>
      <c r="R220" s="8">
        <f>IF(O220="","",Q220*O220)</f>
        <v/>
      </c>
      <c r="S220" s="8">
        <f>IF(O220="","",IF($E220="LONG",K220+Settings!$B$6*O220,K220-Settings!$B$6*O220))</f>
        <v/>
      </c>
      <c r="T220" s="7" t="n"/>
      <c r="V220" s="8">
        <f>IF(OR($E220="",T220=""),"",IF($E220="LONG",(T220-L220)*Q220,(L220-T220)*Q220))</f>
        <v/>
      </c>
      <c r="W220" s="10">
        <f>IF(V220="","",V220/N220)</f>
        <v/>
      </c>
      <c r="X220" s="11">
        <f>IF(V220="","",V220/R220)</f>
        <v/>
      </c>
      <c r="Y220" s="8">
        <f>IF(OR($E220="",L220=""),"",IF($E220="LONG",L220-K220,K220-L220))</f>
        <v/>
      </c>
      <c r="AP220" s="7" t="n"/>
    </row>
    <row r="221">
      <c r="H221" s="7" t="n"/>
      <c r="I221" s="7" t="n"/>
      <c r="J221" s="8">
        <f>IF($E221="","",MAX(Settings!$B$7,ROUND(Settings!$B$8*IF($E221="LONG",H221,I221),2)))</f>
        <v/>
      </c>
      <c r="K221" s="8">
        <f>IF($E221="","",IF($E221="LONG",H221+J221,I221-J221))</f>
        <v/>
      </c>
      <c r="L221" s="7" t="n"/>
      <c r="M221" s="8">
        <f>IF($E221="","",IF($E221="LONG",K221-O221,K221+O221))</f>
        <v/>
      </c>
      <c r="N221" s="7" t="n"/>
      <c r="O221" s="8">
        <f>IF(OR($E221="",AP221=""),"",ROUNDUP(ROUND(MAX(IF($E221="LONG",K221-I221,H221-K221),Settings!$B$9*AP221),6),2))</f>
        <v/>
      </c>
      <c r="P221" s="8">
        <f>IF($E221="","",N221*Settings!$B$4)</f>
        <v/>
      </c>
      <c r="Q221" s="9">
        <f>IF(O221="","",MIN(INT(ROUND(P221/O221,6)),INT(ROUND(Settings!$B$5/K221,6))))</f>
        <v/>
      </c>
      <c r="R221" s="8">
        <f>IF(O221="","",Q221*O221)</f>
        <v/>
      </c>
      <c r="S221" s="8">
        <f>IF(O221="","",IF($E221="LONG",K221+Settings!$B$6*O221,K221-Settings!$B$6*O221))</f>
        <v/>
      </c>
      <c r="T221" s="7" t="n"/>
      <c r="V221" s="8">
        <f>IF(OR($E221="",T221=""),"",IF($E221="LONG",(T221-L221)*Q221,(L221-T221)*Q221))</f>
        <v/>
      </c>
      <c r="W221" s="10">
        <f>IF(V221="","",V221/N221)</f>
        <v/>
      </c>
      <c r="X221" s="11">
        <f>IF(V221="","",V221/R221)</f>
        <v/>
      </c>
      <c r="Y221" s="8">
        <f>IF(OR($E221="",L221=""),"",IF($E221="LONG",L221-K221,K221-L221))</f>
        <v/>
      </c>
      <c r="AP221" s="7" t="n"/>
    </row>
    <row r="222">
      <c r="H222" s="7" t="n"/>
      <c r="I222" s="7" t="n"/>
      <c r="J222" s="8">
        <f>IF($E222="","",MAX(Settings!$B$7,ROUND(Settings!$B$8*IF($E222="LONG",H222,I222),2)))</f>
        <v/>
      </c>
      <c r="K222" s="8">
        <f>IF($E222="","",IF($E222="LONG",H222+J222,I222-J222))</f>
        <v/>
      </c>
      <c r="L222" s="7" t="n"/>
      <c r="M222" s="8">
        <f>IF($E222="","",IF($E222="LONG",K222-O222,K222+O222))</f>
        <v/>
      </c>
      <c r="N222" s="7" t="n"/>
      <c r="O222" s="8">
        <f>IF(OR($E222="",AP222=""),"",ROUNDUP(ROUND(MAX(IF($E222="LONG",K222-I222,H222-K222),Settings!$B$9*AP222),6),2))</f>
        <v/>
      </c>
      <c r="P222" s="8">
        <f>IF($E222="","",N222*Settings!$B$4)</f>
        <v/>
      </c>
      <c r="Q222" s="9">
        <f>IF(O222="","",MIN(INT(ROUND(P222/O222,6)),INT(ROUND(Settings!$B$5/K222,6))))</f>
        <v/>
      </c>
      <c r="R222" s="8">
        <f>IF(O222="","",Q222*O222)</f>
        <v/>
      </c>
      <c r="S222" s="8">
        <f>IF(O222="","",IF($E222="LONG",K222+Settings!$B$6*O222,K222-Settings!$B$6*O222))</f>
        <v/>
      </c>
      <c r="T222" s="7" t="n"/>
      <c r="V222" s="8">
        <f>IF(OR($E222="",T222=""),"",IF($E222="LONG",(T222-L222)*Q222,(L222-T222)*Q222))</f>
        <v/>
      </c>
      <c r="W222" s="10">
        <f>IF(V222="","",V222/N222)</f>
        <v/>
      </c>
      <c r="X222" s="11">
        <f>IF(V222="","",V222/R222)</f>
        <v/>
      </c>
      <c r="Y222" s="8">
        <f>IF(OR($E222="",L222=""),"",IF($E222="LONG",L222-K222,K222-L222))</f>
        <v/>
      </c>
      <c r="AP222" s="7" t="n"/>
    </row>
    <row r="223">
      <c r="H223" s="7" t="n"/>
      <c r="I223" s="7" t="n"/>
      <c r="J223" s="8">
        <f>IF($E223="","",MAX(Settings!$B$7,ROUND(Settings!$B$8*IF($E223="LONG",H223,I223),2)))</f>
        <v/>
      </c>
      <c r="K223" s="8">
        <f>IF($E223="","",IF($E223="LONG",H223+J223,I223-J223))</f>
        <v/>
      </c>
      <c r="L223" s="7" t="n"/>
      <c r="M223" s="8">
        <f>IF($E223="","",IF($E223="LONG",K223-O223,K223+O223))</f>
        <v/>
      </c>
      <c r="N223" s="7" t="n"/>
      <c r="O223" s="8">
        <f>IF(OR($E223="",AP223=""),"",ROUNDUP(ROUND(MAX(IF($E223="LONG",K223-I223,H223-K223),Settings!$B$9*AP223),6),2))</f>
        <v/>
      </c>
      <c r="P223" s="8">
        <f>IF($E223="","",N223*Settings!$B$4)</f>
        <v/>
      </c>
      <c r="Q223" s="9">
        <f>IF(O223="","",MIN(INT(ROUND(P223/O223,6)),INT(ROUND(Settings!$B$5/K223,6))))</f>
        <v/>
      </c>
      <c r="R223" s="8">
        <f>IF(O223="","",Q223*O223)</f>
        <v/>
      </c>
      <c r="S223" s="8">
        <f>IF(O223="","",IF($E223="LONG",K223+Settings!$B$6*O223,K223-Settings!$B$6*O223))</f>
        <v/>
      </c>
      <c r="T223" s="7" t="n"/>
      <c r="V223" s="8">
        <f>IF(OR($E223="",T223=""),"",IF($E223="LONG",(T223-L223)*Q223,(L223-T223)*Q223))</f>
        <v/>
      </c>
      <c r="W223" s="10">
        <f>IF(V223="","",V223/N223)</f>
        <v/>
      </c>
      <c r="X223" s="11">
        <f>IF(V223="","",V223/R223)</f>
        <v/>
      </c>
      <c r="Y223" s="8">
        <f>IF(OR($E223="",L223=""),"",IF($E223="LONG",L223-K223,K223-L223))</f>
        <v/>
      </c>
      <c r="AP223" s="7" t="n"/>
    </row>
    <row r="224">
      <c r="H224" s="7" t="n"/>
      <c r="I224" s="7" t="n"/>
      <c r="J224" s="8">
        <f>IF($E224="","",MAX(Settings!$B$7,ROUND(Settings!$B$8*IF($E224="LONG",H224,I224),2)))</f>
        <v/>
      </c>
      <c r="K224" s="8">
        <f>IF($E224="","",IF($E224="LONG",H224+J224,I224-J224))</f>
        <v/>
      </c>
      <c r="L224" s="7" t="n"/>
      <c r="M224" s="8">
        <f>IF($E224="","",IF($E224="LONG",K224-O224,K224+O224))</f>
        <v/>
      </c>
      <c r="N224" s="7" t="n"/>
      <c r="O224" s="8">
        <f>IF(OR($E224="",AP224=""),"",ROUNDUP(ROUND(MAX(IF($E224="LONG",K224-I224,H224-K224),Settings!$B$9*AP224),6),2))</f>
        <v/>
      </c>
      <c r="P224" s="8">
        <f>IF($E224="","",N224*Settings!$B$4)</f>
        <v/>
      </c>
      <c r="Q224" s="9">
        <f>IF(O224="","",MIN(INT(ROUND(P224/O224,6)),INT(ROUND(Settings!$B$5/K224,6))))</f>
        <v/>
      </c>
      <c r="R224" s="8">
        <f>IF(O224="","",Q224*O224)</f>
        <v/>
      </c>
      <c r="S224" s="8">
        <f>IF(O224="","",IF($E224="LONG",K224+Settings!$B$6*O224,K224-Settings!$B$6*O224))</f>
        <v/>
      </c>
      <c r="T224" s="7" t="n"/>
      <c r="V224" s="8">
        <f>IF(OR($E224="",T224=""),"",IF($E224="LONG",(T224-L224)*Q224,(L224-T224)*Q224))</f>
        <v/>
      </c>
      <c r="W224" s="10">
        <f>IF(V224="","",V224/N224)</f>
        <v/>
      </c>
      <c r="X224" s="11">
        <f>IF(V224="","",V224/R224)</f>
        <v/>
      </c>
      <c r="Y224" s="8">
        <f>IF(OR($E224="",L224=""),"",IF($E224="LONG",L224-K224,K224-L224))</f>
        <v/>
      </c>
      <c r="AP224" s="7" t="n"/>
    </row>
    <row r="225">
      <c r="H225" s="7" t="n"/>
      <c r="I225" s="7" t="n"/>
      <c r="J225" s="8">
        <f>IF($E225="","",MAX(Settings!$B$7,ROUND(Settings!$B$8*IF($E225="LONG",H225,I225),2)))</f>
        <v/>
      </c>
      <c r="K225" s="8">
        <f>IF($E225="","",IF($E225="LONG",H225+J225,I225-J225))</f>
        <v/>
      </c>
      <c r="L225" s="7" t="n"/>
      <c r="M225" s="8">
        <f>IF($E225="","",IF($E225="LONG",K225-O225,K225+O225))</f>
        <v/>
      </c>
      <c r="N225" s="7" t="n"/>
      <c r="O225" s="8">
        <f>IF(OR($E225="",AP225=""),"",ROUNDUP(ROUND(MAX(IF($E225="LONG",K225-I225,H225-K225),Settings!$B$9*AP225),6),2))</f>
        <v/>
      </c>
      <c r="P225" s="8">
        <f>IF($E225="","",N225*Settings!$B$4)</f>
        <v/>
      </c>
      <c r="Q225" s="9">
        <f>IF(O225="","",MIN(INT(ROUND(P225/O225,6)),INT(ROUND(Settings!$B$5/K225,6))))</f>
        <v/>
      </c>
      <c r="R225" s="8">
        <f>IF(O225="","",Q225*O225)</f>
        <v/>
      </c>
      <c r="S225" s="8">
        <f>IF(O225="","",IF($E225="LONG",K225+Settings!$B$6*O225,K225-Settings!$B$6*O225))</f>
        <v/>
      </c>
      <c r="T225" s="7" t="n"/>
      <c r="V225" s="8">
        <f>IF(OR($E225="",T225=""),"",IF($E225="LONG",(T225-L225)*Q225,(L225-T225)*Q225))</f>
        <v/>
      </c>
      <c r="W225" s="10">
        <f>IF(V225="","",V225/N225)</f>
        <v/>
      </c>
      <c r="X225" s="11">
        <f>IF(V225="","",V225/R225)</f>
        <v/>
      </c>
      <c r="Y225" s="8">
        <f>IF(OR($E225="",L225=""),"",IF($E225="LONG",L225-K225,K225-L225))</f>
        <v/>
      </c>
      <c r="AP225" s="7" t="n"/>
    </row>
    <row r="226">
      <c r="H226" s="7" t="n"/>
      <c r="I226" s="7" t="n"/>
      <c r="J226" s="8">
        <f>IF($E226="","",MAX(Settings!$B$7,ROUND(Settings!$B$8*IF($E226="LONG",H226,I226),2)))</f>
        <v/>
      </c>
      <c r="K226" s="8">
        <f>IF($E226="","",IF($E226="LONG",H226+J226,I226-J226))</f>
        <v/>
      </c>
      <c r="L226" s="7" t="n"/>
      <c r="M226" s="8">
        <f>IF($E226="","",IF($E226="LONG",K226-O226,K226+O226))</f>
        <v/>
      </c>
      <c r="N226" s="7" t="n"/>
      <c r="O226" s="8">
        <f>IF(OR($E226="",AP226=""),"",ROUNDUP(ROUND(MAX(IF($E226="LONG",K226-I226,H226-K226),Settings!$B$9*AP226),6),2))</f>
        <v/>
      </c>
      <c r="P226" s="8">
        <f>IF($E226="","",N226*Settings!$B$4)</f>
        <v/>
      </c>
      <c r="Q226" s="9">
        <f>IF(O226="","",MIN(INT(ROUND(P226/O226,6)),INT(ROUND(Settings!$B$5/K226,6))))</f>
        <v/>
      </c>
      <c r="R226" s="8">
        <f>IF(O226="","",Q226*O226)</f>
        <v/>
      </c>
      <c r="S226" s="8">
        <f>IF(O226="","",IF($E226="LONG",K226+Settings!$B$6*O226,K226-Settings!$B$6*O226))</f>
        <v/>
      </c>
      <c r="T226" s="7" t="n"/>
      <c r="V226" s="8">
        <f>IF(OR($E226="",T226=""),"",IF($E226="LONG",(T226-L226)*Q226,(L226-T226)*Q226))</f>
        <v/>
      </c>
      <c r="W226" s="10">
        <f>IF(V226="","",V226/N226)</f>
        <v/>
      </c>
      <c r="X226" s="11">
        <f>IF(V226="","",V226/R226)</f>
        <v/>
      </c>
      <c r="Y226" s="8">
        <f>IF(OR($E226="",L226=""),"",IF($E226="LONG",L226-K226,K226-L226))</f>
        <v/>
      </c>
      <c r="AP226" s="7" t="n"/>
    </row>
    <row r="227">
      <c r="H227" s="7" t="n"/>
      <c r="I227" s="7" t="n"/>
      <c r="J227" s="8">
        <f>IF($E227="","",MAX(Settings!$B$7,ROUND(Settings!$B$8*IF($E227="LONG",H227,I227),2)))</f>
        <v/>
      </c>
      <c r="K227" s="8">
        <f>IF($E227="","",IF($E227="LONG",H227+J227,I227-J227))</f>
        <v/>
      </c>
      <c r="L227" s="7" t="n"/>
      <c r="M227" s="8">
        <f>IF($E227="","",IF($E227="LONG",K227-O227,K227+O227))</f>
        <v/>
      </c>
      <c r="N227" s="7" t="n"/>
      <c r="O227" s="8">
        <f>IF(OR($E227="",AP227=""),"",ROUNDUP(ROUND(MAX(IF($E227="LONG",K227-I227,H227-K227),Settings!$B$9*AP227),6),2))</f>
        <v/>
      </c>
      <c r="P227" s="8">
        <f>IF($E227="","",N227*Settings!$B$4)</f>
        <v/>
      </c>
      <c r="Q227" s="9">
        <f>IF(O227="","",MIN(INT(ROUND(P227/O227,6)),INT(ROUND(Settings!$B$5/K227,6))))</f>
        <v/>
      </c>
      <c r="R227" s="8">
        <f>IF(O227="","",Q227*O227)</f>
        <v/>
      </c>
      <c r="S227" s="8">
        <f>IF(O227="","",IF($E227="LONG",K227+Settings!$B$6*O227,K227-Settings!$B$6*O227))</f>
        <v/>
      </c>
      <c r="T227" s="7" t="n"/>
      <c r="V227" s="8">
        <f>IF(OR($E227="",T227=""),"",IF($E227="LONG",(T227-L227)*Q227,(L227-T227)*Q227))</f>
        <v/>
      </c>
      <c r="W227" s="10">
        <f>IF(V227="","",V227/N227)</f>
        <v/>
      </c>
      <c r="X227" s="11">
        <f>IF(V227="","",V227/R227)</f>
        <v/>
      </c>
      <c r="Y227" s="8">
        <f>IF(OR($E227="",L227=""),"",IF($E227="LONG",L227-K227,K227-L227))</f>
        <v/>
      </c>
      <c r="AP227" s="7" t="n"/>
    </row>
    <row r="228">
      <c r="H228" s="7" t="n"/>
      <c r="I228" s="7" t="n"/>
      <c r="J228" s="8">
        <f>IF($E228="","",MAX(Settings!$B$7,ROUND(Settings!$B$8*IF($E228="LONG",H228,I228),2)))</f>
        <v/>
      </c>
      <c r="K228" s="8">
        <f>IF($E228="","",IF($E228="LONG",H228+J228,I228-J228))</f>
        <v/>
      </c>
      <c r="L228" s="7" t="n"/>
      <c r="M228" s="8">
        <f>IF($E228="","",IF($E228="LONG",K228-O228,K228+O228))</f>
        <v/>
      </c>
      <c r="N228" s="7" t="n"/>
      <c r="O228" s="8">
        <f>IF(OR($E228="",AP228=""),"",ROUNDUP(ROUND(MAX(IF($E228="LONG",K228-I228,H228-K228),Settings!$B$9*AP228),6),2))</f>
        <v/>
      </c>
      <c r="P228" s="8">
        <f>IF($E228="","",N228*Settings!$B$4)</f>
        <v/>
      </c>
      <c r="Q228" s="9">
        <f>IF(O228="","",MIN(INT(ROUND(P228/O228,6)),INT(ROUND(Settings!$B$5/K228,6))))</f>
        <v/>
      </c>
      <c r="R228" s="8">
        <f>IF(O228="","",Q228*O228)</f>
        <v/>
      </c>
      <c r="S228" s="8">
        <f>IF(O228="","",IF($E228="LONG",K228+Settings!$B$6*O228,K228-Settings!$B$6*O228))</f>
        <v/>
      </c>
      <c r="T228" s="7" t="n"/>
      <c r="V228" s="8">
        <f>IF(OR($E228="",T228=""),"",IF($E228="LONG",(T228-L228)*Q228,(L228-T228)*Q228))</f>
        <v/>
      </c>
      <c r="W228" s="10">
        <f>IF(V228="","",V228/N228)</f>
        <v/>
      </c>
      <c r="X228" s="11">
        <f>IF(V228="","",V228/R228)</f>
        <v/>
      </c>
      <c r="Y228" s="8">
        <f>IF(OR($E228="",L228=""),"",IF($E228="LONG",L228-K228,K228-L228))</f>
        <v/>
      </c>
      <c r="AP228" s="7" t="n"/>
    </row>
    <row r="229">
      <c r="H229" s="7" t="n"/>
      <c r="I229" s="7" t="n"/>
      <c r="J229" s="8">
        <f>IF($E229="","",MAX(Settings!$B$7,ROUND(Settings!$B$8*IF($E229="LONG",H229,I229),2)))</f>
        <v/>
      </c>
      <c r="K229" s="8">
        <f>IF($E229="","",IF($E229="LONG",H229+J229,I229-J229))</f>
        <v/>
      </c>
      <c r="L229" s="7" t="n"/>
      <c r="M229" s="8">
        <f>IF($E229="","",IF($E229="LONG",K229-O229,K229+O229))</f>
        <v/>
      </c>
      <c r="N229" s="7" t="n"/>
      <c r="O229" s="8">
        <f>IF(OR($E229="",AP229=""),"",ROUNDUP(ROUND(MAX(IF($E229="LONG",K229-I229,H229-K229),Settings!$B$9*AP229),6),2))</f>
        <v/>
      </c>
      <c r="P229" s="8">
        <f>IF($E229="","",N229*Settings!$B$4)</f>
        <v/>
      </c>
      <c r="Q229" s="9">
        <f>IF(O229="","",MIN(INT(ROUND(P229/O229,6)),INT(ROUND(Settings!$B$5/K229,6))))</f>
        <v/>
      </c>
      <c r="R229" s="8">
        <f>IF(O229="","",Q229*O229)</f>
        <v/>
      </c>
      <c r="S229" s="8">
        <f>IF(O229="","",IF($E229="LONG",K229+Settings!$B$6*O229,K229-Settings!$B$6*O229))</f>
        <v/>
      </c>
      <c r="T229" s="7" t="n"/>
      <c r="V229" s="8">
        <f>IF(OR($E229="",T229=""),"",IF($E229="LONG",(T229-L229)*Q229,(L229-T229)*Q229))</f>
        <v/>
      </c>
      <c r="W229" s="10">
        <f>IF(V229="","",V229/N229)</f>
        <v/>
      </c>
      <c r="X229" s="11">
        <f>IF(V229="","",V229/R229)</f>
        <v/>
      </c>
      <c r="Y229" s="8">
        <f>IF(OR($E229="",L229=""),"",IF($E229="LONG",L229-K229,K229-L229))</f>
        <v/>
      </c>
      <c r="AP229" s="7" t="n"/>
    </row>
    <row r="230">
      <c r="H230" s="7" t="n"/>
      <c r="I230" s="7" t="n"/>
      <c r="J230" s="8">
        <f>IF($E230="","",MAX(Settings!$B$7,ROUND(Settings!$B$8*IF($E230="LONG",H230,I230),2)))</f>
        <v/>
      </c>
      <c r="K230" s="8">
        <f>IF($E230="","",IF($E230="LONG",H230+J230,I230-J230))</f>
        <v/>
      </c>
      <c r="L230" s="7" t="n"/>
      <c r="M230" s="8">
        <f>IF($E230="","",IF($E230="LONG",K230-O230,K230+O230))</f>
        <v/>
      </c>
      <c r="N230" s="7" t="n"/>
      <c r="O230" s="8">
        <f>IF(OR($E230="",AP230=""),"",ROUNDUP(ROUND(MAX(IF($E230="LONG",K230-I230,H230-K230),Settings!$B$9*AP230),6),2))</f>
        <v/>
      </c>
      <c r="P230" s="8">
        <f>IF($E230="","",N230*Settings!$B$4)</f>
        <v/>
      </c>
      <c r="Q230" s="9">
        <f>IF(O230="","",MIN(INT(ROUND(P230/O230,6)),INT(ROUND(Settings!$B$5/K230,6))))</f>
        <v/>
      </c>
      <c r="R230" s="8">
        <f>IF(O230="","",Q230*O230)</f>
        <v/>
      </c>
      <c r="S230" s="8">
        <f>IF(O230="","",IF($E230="LONG",K230+Settings!$B$6*O230,K230-Settings!$B$6*O230))</f>
        <v/>
      </c>
      <c r="T230" s="7" t="n"/>
      <c r="V230" s="8">
        <f>IF(OR($E230="",T230=""),"",IF($E230="LONG",(T230-L230)*Q230,(L230-T230)*Q230))</f>
        <v/>
      </c>
      <c r="W230" s="10">
        <f>IF(V230="","",V230/N230)</f>
        <v/>
      </c>
      <c r="X230" s="11">
        <f>IF(V230="","",V230/R230)</f>
        <v/>
      </c>
      <c r="Y230" s="8">
        <f>IF(OR($E230="",L230=""),"",IF($E230="LONG",L230-K230,K230-L230))</f>
        <v/>
      </c>
      <c r="AP230" s="7" t="n"/>
    </row>
    <row r="231">
      <c r="H231" s="7" t="n"/>
      <c r="I231" s="7" t="n"/>
      <c r="J231" s="8">
        <f>IF($E231="","",MAX(Settings!$B$7,ROUND(Settings!$B$8*IF($E231="LONG",H231,I231),2)))</f>
        <v/>
      </c>
      <c r="K231" s="8">
        <f>IF($E231="","",IF($E231="LONG",H231+J231,I231-J231))</f>
        <v/>
      </c>
      <c r="L231" s="7" t="n"/>
      <c r="M231" s="8">
        <f>IF($E231="","",IF($E231="LONG",K231-O231,K231+O231))</f>
        <v/>
      </c>
      <c r="N231" s="7" t="n"/>
      <c r="O231" s="8">
        <f>IF(OR($E231="",AP231=""),"",ROUNDUP(ROUND(MAX(IF($E231="LONG",K231-I231,H231-K231),Settings!$B$9*AP231),6),2))</f>
        <v/>
      </c>
      <c r="P231" s="8">
        <f>IF($E231="","",N231*Settings!$B$4)</f>
        <v/>
      </c>
      <c r="Q231" s="9">
        <f>IF(O231="","",MIN(INT(ROUND(P231/O231,6)),INT(ROUND(Settings!$B$5/K231,6))))</f>
        <v/>
      </c>
      <c r="R231" s="8">
        <f>IF(O231="","",Q231*O231)</f>
        <v/>
      </c>
      <c r="S231" s="8">
        <f>IF(O231="","",IF($E231="LONG",K231+Settings!$B$6*O231,K231-Settings!$B$6*O231))</f>
        <v/>
      </c>
      <c r="T231" s="7" t="n"/>
      <c r="V231" s="8">
        <f>IF(OR($E231="",T231=""),"",IF($E231="LONG",(T231-L231)*Q231,(L231-T231)*Q231))</f>
        <v/>
      </c>
      <c r="W231" s="10">
        <f>IF(V231="","",V231/N231)</f>
        <v/>
      </c>
      <c r="X231" s="11">
        <f>IF(V231="","",V231/R231)</f>
        <v/>
      </c>
      <c r="Y231" s="8">
        <f>IF(OR($E231="",L231=""),"",IF($E231="LONG",L231-K231,K231-L231))</f>
        <v/>
      </c>
      <c r="AP231" s="7" t="n"/>
    </row>
    <row r="232">
      <c r="H232" s="7" t="n"/>
      <c r="I232" s="7" t="n"/>
      <c r="J232" s="8">
        <f>IF($E232="","",MAX(Settings!$B$7,ROUND(Settings!$B$8*IF($E232="LONG",H232,I232),2)))</f>
        <v/>
      </c>
      <c r="K232" s="8">
        <f>IF($E232="","",IF($E232="LONG",H232+J232,I232-J232))</f>
        <v/>
      </c>
      <c r="L232" s="7" t="n"/>
      <c r="M232" s="8">
        <f>IF($E232="","",IF($E232="LONG",K232-O232,K232+O232))</f>
        <v/>
      </c>
      <c r="N232" s="7" t="n"/>
      <c r="O232" s="8">
        <f>IF(OR($E232="",AP232=""),"",ROUNDUP(ROUND(MAX(IF($E232="LONG",K232-I232,H232-K232),Settings!$B$9*AP232),6),2))</f>
        <v/>
      </c>
      <c r="P232" s="8">
        <f>IF($E232="","",N232*Settings!$B$4)</f>
        <v/>
      </c>
      <c r="Q232" s="9">
        <f>IF(O232="","",MIN(INT(ROUND(P232/O232,6)),INT(ROUND(Settings!$B$5/K232,6))))</f>
        <v/>
      </c>
      <c r="R232" s="8">
        <f>IF(O232="","",Q232*O232)</f>
        <v/>
      </c>
      <c r="S232" s="8">
        <f>IF(O232="","",IF($E232="LONG",K232+Settings!$B$6*O232,K232-Settings!$B$6*O232))</f>
        <v/>
      </c>
      <c r="T232" s="7" t="n"/>
      <c r="V232" s="8">
        <f>IF(OR($E232="",T232=""),"",IF($E232="LONG",(T232-L232)*Q232,(L232-T232)*Q232))</f>
        <v/>
      </c>
      <c r="W232" s="10">
        <f>IF(V232="","",V232/N232)</f>
        <v/>
      </c>
      <c r="X232" s="11">
        <f>IF(V232="","",V232/R232)</f>
        <v/>
      </c>
      <c r="Y232" s="8">
        <f>IF(OR($E232="",L232=""),"",IF($E232="LONG",L232-K232,K232-L232))</f>
        <v/>
      </c>
      <c r="AP232" s="7" t="n"/>
    </row>
    <row r="233">
      <c r="H233" s="7" t="n"/>
      <c r="I233" s="7" t="n"/>
      <c r="J233" s="8">
        <f>IF($E233="","",MAX(Settings!$B$7,ROUND(Settings!$B$8*IF($E233="LONG",H233,I233),2)))</f>
        <v/>
      </c>
      <c r="K233" s="8">
        <f>IF($E233="","",IF($E233="LONG",H233+J233,I233-J233))</f>
        <v/>
      </c>
      <c r="L233" s="7" t="n"/>
      <c r="M233" s="8">
        <f>IF($E233="","",IF($E233="LONG",K233-O233,K233+O233))</f>
        <v/>
      </c>
      <c r="N233" s="7" t="n"/>
      <c r="O233" s="8">
        <f>IF(OR($E233="",AP233=""),"",ROUNDUP(ROUND(MAX(IF($E233="LONG",K233-I233,H233-K233),Settings!$B$9*AP233),6),2))</f>
        <v/>
      </c>
      <c r="P233" s="8">
        <f>IF($E233="","",N233*Settings!$B$4)</f>
        <v/>
      </c>
      <c r="Q233" s="9">
        <f>IF(O233="","",MIN(INT(ROUND(P233/O233,6)),INT(ROUND(Settings!$B$5/K233,6))))</f>
        <v/>
      </c>
      <c r="R233" s="8">
        <f>IF(O233="","",Q233*O233)</f>
        <v/>
      </c>
      <c r="S233" s="8">
        <f>IF(O233="","",IF($E233="LONG",K233+Settings!$B$6*O233,K233-Settings!$B$6*O233))</f>
        <v/>
      </c>
      <c r="T233" s="7" t="n"/>
      <c r="V233" s="8">
        <f>IF(OR($E233="",T233=""),"",IF($E233="LONG",(T233-L233)*Q233,(L233-T233)*Q233))</f>
        <v/>
      </c>
      <c r="W233" s="10">
        <f>IF(V233="","",V233/N233)</f>
        <v/>
      </c>
      <c r="X233" s="11">
        <f>IF(V233="","",V233/R233)</f>
        <v/>
      </c>
      <c r="Y233" s="8">
        <f>IF(OR($E233="",L233=""),"",IF($E233="LONG",L233-K233,K233-L233))</f>
        <v/>
      </c>
      <c r="AP233" s="7" t="n"/>
    </row>
    <row r="234">
      <c r="H234" s="7" t="n"/>
      <c r="I234" s="7" t="n"/>
      <c r="J234" s="8">
        <f>IF($E234="","",MAX(Settings!$B$7,ROUND(Settings!$B$8*IF($E234="LONG",H234,I234),2)))</f>
        <v/>
      </c>
      <c r="K234" s="8">
        <f>IF($E234="","",IF($E234="LONG",H234+J234,I234-J234))</f>
        <v/>
      </c>
      <c r="L234" s="7" t="n"/>
      <c r="M234" s="8">
        <f>IF($E234="","",IF($E234="LONG",K234-O234,K234+O234))</f>
        <v/>
      </c>
      <c r="N234" s="7" t="n"/>
      <c r="O234" s="8">
        <f>IF(OR($E234="",AP234=""),"",ROUNDUP(ROUND(MAX(IF($E234="LONG",K234-I234,H234-K234),Settings!$B$9*AP234),6),2))</f>
        <v/>
      </c>
      <c r="P234" s="8">
        <f>IF($E234="","",N234*Settings!$B$4)</f>
        <v/>
      </c>
      <c r="Q234" s="9">
        <f>IF(O234="","",MIN(INT(ROUND(P234/O234,6)),INT(ROUND(Settings!$B$5/K234,6))))</f>
        <v/>
      </c>
      <c r="R234" s="8">
        <f>IF(O234="","",Q234*O234)</f>
        <v/>
      </c>
      <c r="S234" s="8">
        <f>IF(O234="","",IF($E234="LONG",K234+Settings!$B$6*O234,K234-Settings!$B$6*O234))</f>
        <v/>
      </c>
      <c r="T234" s="7" t="n"/>
      <c r="V234" s="8">
        <f>IF(OR($E234="",T234=""),"",IF($E234="LONG",(T234-L234)*Q234,(L234-T234)*Q234))</f>
        <v/>
      </c>
      <c r="W234" s="10">
        <f>IF(V234="","",V234/N234)</f>
        <v/>
      </c>
      <c r="X234" s="11">
        <f>IF(V234="","",V234/R234)</f>
        <v/>
      </c>
      <c r="Y234" s="8">
        <f>IF(OR($E234="",L234=""),"",IF($E234="LONG",L234-K234,K234-L234))</f>
        <v/>
      </c>
      <c r="AP234" s="7" t="n"/>
    </row>
    <row r="235">
      <c r="H235" s="7" t="n"/>
      <c r="I235" s="7" t="n"/>
      <c r="J235" s="8">
        <f>IF($E235="","",MAX(Settings!$B$7,ROUND(Settings!$B$8*IF($E235="LONG",H235,I235),2)))</f>
        <v/>
      </c>
      <c r="K235" s="8">
        <f>IF($E235="","",IF($E235="LONG",H235+J235,I235-J235))</f>
        <v/>
      </c>
      <c r="L235" s="7" t="n"/>
      <c r="M235" s="8">
        <f>IF($E235="","",IF($E235="LONG",K235-O235,K235+O235))</f>
        <v/>
      </c>
      <c r="N235" s="7" t="n"/>
      <c r="O235" s="8">
        <f>IF(OR($E235="",AP235=""),"",ROUNDUP(ROUND(MAX(IF($E235="LONG",K235-I235,H235-K235),Settings!$B$9*AP235),6),2))</f>
        <v/>
      </c>
      <c r="P235" s="8">
        <f>IF($E235="","",N235*Settings!$B$4)</f>
        <v/>
      </c>
      <c r="Q235" s="9">
        <f>IF(O235="","",MIN(INT(ROUND(P235/O235,6)),INT(ROUND(Settings!$B$5/K235,6))))</f>
        <v/>
      </c>
      <c r="R235" s="8">
        <f>IF(O235="","",Q235*O235)</f>
        <v/>
      </c>
      <c r="S235" s="8">
        <f>IF(O235="","",IF($E235="LONG",K235+Settings!$B$6*O235,K235-Settings!$B$6*O235))</f>
        <v/>
      </c>
      <c r="T235" s="7" t="n"/>
      <c r="V235" s="8">
        <f>IF(OR($E235="",T235=""),"",IF($E235="LONG",(T235-L235)*Q235,(L235-T235)*Q235))</f>
        <v/>
      </c>
      <c r="W235" s="10">
        <f>IF(V235="","",V235/N235)</f>
        <v/>
      </c>
      <c r="X235" s="11">
        <f>IF(V235="","",V235/R235)</f>
        <v/>
      </c>
      <c r="Y235" s="8">
        <f>IF(OR($E235="",L235=""),"",IF($E235="LONG",L235-K235,K235-L235))</f>
        <v/>
      </c>
      <c r="AP235" s="7" t="n"/>
    </row>
    <row r="236">
      <c r="H236" s="7" t="n"/>
      <c r="I236" s="7" t="n"/>
      <c r="J236" s="8">
        <f>IF($E236="","",MAX(Settings!$B$7,ROUND(Settings!$B$8*IF($E236="LONG",H236,I236),2)))</f>
        <v/>
      </c>
      <c r="K236" s="8">
        <f>IF($E236="","",IF($E236="LONG",H236+J236,I236-J236))</f>
        <v/>
      </c>
      <c r="L236" s="7" t="n"/>
      <c r="M236" s="8">
        <f>IF($E236="","",IF($E236="LONG",K236-O236,K236+O236))</f>
        <v/>
      </c>
      <c r="N236" s="7" t="n"/>
      <c r="O236" s="8">
        <f>IF(OR($E236="",AP236=""),"",ROUNDUP(ROUND(MAX(IF($E236="LONG",K236-I236,H236-K236),Settings!$B$9*AP236),6),2))</f>
        <v/>
      </c>
      <c r="P236" s="8">
        <f>IF($E236="","",N236*Settings!$B$4)</f>
        <v/>
      </c>
      <c r="Q236" s="9">
        <f>IF(O236="","",MIN(INT(ROUND(P236/O236,6)),INT(ROUND(Settings!$B$5/K236,6))))</f>
        <v/>
      </c>
      <c r="R236" s="8">
        <f>IF(O236="","",Q236*O236)</f>
        <v/>
      </c>
      <c r="S236" s="8">
        <f>IF(O236="","",IF($E236="LONG",K236+Settings!$B$6*O236,K236-Settings!$B$6*O236))</f>
        <v/>
      </c>
      <c r="T236" s="7" t="n"/>
      <c r="V236" s="8">
        <f>IF(OR($E236="",T236=""),"",IF($E236="LONG",(T236-L236)*Q236,(L236-T236)*Q236))</f>
        <v/>
      </c>
      <c r="W236" s="10">
        <f>IF(V236="","",V236/N236)</f>
        <v/>
      </c>
      <c r="X236" s="11">
        <f>IF(V236="","",V236/R236)</f>
        <v/>
      </c>
      <c r="Y236" s="8">
        <f>IF(OR($E236="",L236=""),"",IF($E236="LONG",L236-K236,K236-L236))</f>
        <v/>
      </c>
      <c r="AP236" s="7" t="n"/>
    </row>
    <row r="237">
      <c r="H237" s="7" t="n"/>
      <c r="I237" s="7" t="n"/>
      <c r="J237" s="8">
        <f>IF($E237="","",MAX(Settings!$B$7,ROUND(Settings!$B$8*IF($E237="LONG",H237,I237),2)))</f>
        <v/>
      </c>
      <c r="K237" s="8">
        <f>IF($E237="","",IF($E237="LONG",H237+J237,I237-J237))</f>
        <v/>
      </c>
      <c r="L237" s="7" t="n"/>
      <c r="M237" s="8">
        <f>IF($E237="","",IF($E237="LONG",K237-O237,K237+O237))</f>
        <v/>
      </c>
      <c r="N237" s="7" t="n"/>
      <c r="O237" s="8">
        <f>IF(OR($E237="",AP237=""),"",ROUNDUP(ROUND(MAX(IF($E237="LONG",K237-I237,H237-K237),Settings!$B$9*AP237),6),2))</f>
        <v/>
      </c>
      <c r="P237" s="8">
        <f>IF($E237="","",N237*Settings!$B$4)</f>
        <v/>
      </c>
      <c r="Q237" s="9">
        <f>IF(O237="","",MIN(INT(ROUND(P237/O237,6)),INT(ROUND(Settings!$B$5/K237,6))))</f>
        <v/>
      </c>
      <c r="R237" s="8">
        <f>IF(O237="","",Q237*O237)</f>
        <v/>
      </c>
      <c r="S237" s="8">
        <f>IF(O237="","",IF($E237="LONG",K237+Settings!$B$6*O237,K237-Settings!$B$6*O237))</f>
        <v/>
      </c>
      <c r="T237" s="7" t="n"/>
      <c r="V237" s="8">
        <f>IF(OR($E237="",T237=""),"",IF($E237="LONG",(T237-L237)*Q237,(L237-T237)*Q237))</f>
        <v/>
      </c>
      <c r="W237" s="10">
        <f>IF(V237="","",V237/N237)</f>
        <v/>
      </c>
      <c r="X237" s="11">
        <f>IF(V237="","",V237/R237)</f>
        <v/>
      </c>
      <c r="Y237" s="8">
        <f>IF(OR($E237="",L237=""),"",IF($E237="LONG",L237-K237,K237-L237))</f>
        <v/>
      </c>
      <c r="AP237" s="7" t="n"/>
    </row>
    <row r="238">
      <c r="H238" s="7" t="n"/>
      <c r="I238" s="7" t="n"/>
      <c r="J238" s="8">
        <f>IF($E238="","",MAX(Settings!$B$7,ROUND(Settings!$B$8*IF($E238="LONG",H238,I238),2)))</f>
        <v/>
      </c>
      <c r="K238" s="8">
        <f>IF($E238="","",IF($E238="LONG",H238+J238,I238-J238))</f>
        <v/>
      </c>
      <c r="L238" s="7" t="n"/>
      <c r="M238" s="8">
        <f>IF($E238="","",IF($E238="LONG",K238-O238,K238+O238))</f>
        <v/>
      </c>
      <c r="N238" s="7" t="n"/>
      <c r="O238" s="8">
        <f>IF(OR($E238="",AP238=""),"",ROUNDUP(ROUND(MAX(IF($E238="LONG",K238-I238,H238-K238),Settings!$B$9*AP238),6),2))</f>
        <v/>
      </c>
      <c r="P238" s="8">
        <f>IF($E238="","",N238*Settings!$B$4)</f>
        <v/>
      </c>
      <c r="Q238" s="9">
        <f>IF(O238="","",MIN(INT(ROUND(P238/O238,6)),INT(ROUND(Settings!$B$5/K238,6))))</f>
        <v/>
      </c>
      <c r="R238" s="8">
        <f>IF(O238="","",Q238*O238)</f>
        <v/>
      </c>
      <c r="S238" s="8">
        <f>IF(O238="","",IF($E238="LONG",K238+Settings!$B$6*O238,K238-Settings!$B$6*O238))</f>
        <v/>
      </c>
      <c r="T238" s="7" t="n"/>
      <c r="V238" s="8">
        <f>IF(OR($E238="",T238=""),"",IF($E238="LONG",(T238-L238)*Q238,(L238-T238)*Q238))</f>
        <v/>
      </c>
      <c r="W238" s="10">
        <f>IF(V238="","",V238/N238)</f>
        <v/>
      </c>
      <c r="X238" s="11">
        <f>IF(V238="","",V238/R238)</f>
        <v/>
      </c>
      <c r="Y238" s="8">
        <f>IF(OR($E238="",L238=""),"",IF($E238="LONG",L238-K238,K238-L238))</f>
        <v/>
      </c>
      <c r="AP238" s="7" t="n"/>
    </row>
    <row r="239">
      <c r="H239" s="7" t="n"/>
      <c r="I239" s="7" t="n"/>
      <c r="J239" s="8">
        <f>IF($E239="","",MAX(Settings!$B$7,ROUND(Settings!$B$8*IF($E239="LONG",H239,I239),2)))</f>
        <v/>
      </c>
      <c r="K239" s="8">
        <f>IF($E239="","",IF($E239="LONG",H239+J239,I239-J239))</f>
        <v/>
      </c>
      <c r="L239" s="7" t="n"/>
      <c r="M239" s="8">
        <f>IF($E239="","",IF($E239="LONG",K239-O239,K239+O239))</f>
        <v/>
      </c>
      <c r="N239" s="7" t="n"/>
      <c r="O239" s="8">
        <f>IF(OR($E239="",AP239=""),"",ROUNDUP(ROUND(MAX(IF($E239="LONG",K239-I239,H239-K239),Settings!$B$9*AP239),6),2))</f>
        <v/>
      </c>
      <c r="P239" s="8">
        <f>IF($E239="","",N239*Settings!$B$4)</f>
        <v/>
      </c>
      <c r="Q239" s="9">
        <f>IF(O239="","",MIN(INT(ROUND(P239/O239,6)),INT(ROUND(Settings!$B$5/K239,6))))</f>
        <v/>
      </c>
      <c r="R239" s="8">
        <f>IF(O239="","",Q239*O239)</f>
        <v/>
      </c>
      <c r="S239" s="8">
        <f>IF(O239="","",IF($E239="LONG",K239+Settings!$B$6*O239,K239-Settings!$B$6*O239))</f>
        <v/>
      </c>
      <c r="T239" s="7" t="n"/>
      <c r="V239" s="8">
        <f>IF(OR($E239="",T239=""),"",IF($E239="LONG",(T239-L239)*Q239,(L239-T239)*Q239))</f>
        <v/>
      </c>
      <c r="W239" s="10">
        <f>IF(V239="","",V239/N239)</f>
        <v/>
      </c>
      <c r="X239" s="11">
        <f>IF(V239="","",V239/R239)</f>
        <v/>
      </c>
      <c r="Y239" s="8">
        <f>IF(OR($E239="",L239=""),"",IF($E239="LONG",L239-K239,K239-L239))</f>
        <v/>
      </c>
      <c r="AP239" s="7" t="n"/>
    </row>
    <row r="240">
      <c r="H240" s="7" t="n"/>
      <c r="I240" s="7" t="n"/>
      <c r="J240" s="8">
        <f>IF($E240="","",MAX(Settings!$B$7,ROUND(Settings!$B$8*IF($E240="LONG",H240,I240),2)))</f>
        <v/>
      </c>
      <c r="K240" s="8">
        <f>IF($E240="","",IF($E240="LONG",H240+J240,I240-J240))</f>
        <v/>
      </c>
      <c r="L240" s="7" t="n"/>
      <c r="M240" s="8">
        <f>IF($E240="","",IF($E240="LONG",K240-O240,K240+O240))</f>
        <v/>
      </c>
      <c r="N240" s="7" t="n"/>
      <c r="O240" s="8">
        <f>IF(OR($E240="",AP240=""),"",ROUNDUP(ROUND(MAX(IF($E240="LONG",K240-I240,H240-K240),Settings!$B$9*AP240),6),2))</f>
        <v/>
      </c>
      <c r="P240" s="8">
        <f>IF($E240="","",N240*Settings!$B$4)</f>
        <v/>
      </c>
      <c r="Q240" s="9">
        <f>IF(O240="","",MIN(INT(ROUND(P240/O240,6)),INT(ROUND(Settings!$B$5/K240,6))))</f>
        <v/>
      </c>
      <c r="R240" s="8">
        <f>IF(O240="","",Q240*O240)</f>
        <v/>
      </c>
      <c r="S240" s="8">
        <f>IF(O240="","",IF($E240="LONG",K240+Settings!$B$6*O240,K240-Settings!$B$6*O240))</f>
        <v/>
      </c>
      <c r="T240" s="7" t="n"/>
      <c r="V240" s="8">
        <f>IF(OR($E240="",T240=""),"",IF($E240="LONG",(T240-L240)*Q240,(L240-T240)*Q240))</f>
        <v/>
      </c>
      <c r="W240" s="10">
        <f>IF(V240="","",V240/N240)</f>
        <v/>
      </c>
      <c r="X240" s="11">
        <f>IF(V240="","",V240/R240)</f>
        <v/>
      </c>
      <c r="Y240" s="8">
        <f>IF(OR($E240="",L240=""),"",IF($E240="LONG",L240-K240,K240-L240))</f>
        <v/>
      </c>
      <c r="AP240" s="7" t="n"/>
    </row>
    <row r="241">
      <c r="H241" s="7" t="n"/>
      <c r="I241" s="7" t="n"/>
      <c r="J241" s="8">
        <f>IF($E241="","",MAX(Settings!$B$7,ROUND(Settings!$B$8*IF($E241="LONG",H241,I241),2)))</f>
        <v/>
      </c>
      <c r="K241" s="8">
        <f>IF($E241="","",IF($E241="LONG",H241+J241,I241-J241))</f>
        <v/>
      </c>
      <c r="L241" s="7" t="n"/>
      <c r="M241" s="8">
        <f>IF($E241="","",IF($E241="LONG",K241-O241,K241+O241))</f>
        <v/>
      </c>
      <c r="N241" s="7" t="n"/>
      <c r="O241" s="8">
        <f>IF(OR($E241="",AP241=""),"",ROUNDUP(ROUND(MAX(IF($E241="LONG",K241-I241,H241-K241),Settings!$B$9*AP241),6),2))</f>
        <v/>
      </c>
      <c r="P241" s="8">
        <f>IF($E241="","",N241*Settings!$B$4)</f>
        <v/>
      </c>
      <c r="Q241" s="9">
        <f>IF(O241="","",MIN(INT(ROUND(P241/O241,6)),INT(ROUND(Settings!$B$5/K241,6))))</f>
        <v/>
      </c>
      <c r="R241" s="8">
        <f>IF(O241="","",Q241*O241)</f>
        <v/>
      </c>
      <c r="S241" s="8">
        <f>IF(O241="","",IF($E241="LONG",K241+Settings!$B$6*O241,K241-Settings!$B$6*O241))</f>
        <v/>
      </c>
      <c r="T241" s="7" t="n"/>
      <c r="V241" s="8">
        <f>IF(OR($E241="",T241=""),"",IF($E241="LONG",(T241-L241)*Q241,(L241-T241)*Q241))</f>
        <v/>
      </c>
      <c r="W241" s="10">
        <f>IF(V241="","",V241/N241)</f>
        <v/>
      </c>
      <c r="X241" s="11">
        <f>IF(V241="","",V241/R241)</f>
        <v/>
      </c>
      <c r="Y241" s="8">
        <f>IF(OR($E241="",L241=""),"",IF($E241="LONG",L241-K241,K241-L241))</f>
        <v/>
      </c>
      <c r="AP241" s="7" t="n"/>
    </row>
    <row r="242">
      <c r="H242" s="7" t="n"/>
      <c r="I242" s="7" t="n"/>
      <c r="J242" s="8">
        <f>IF($E242="","",MAX(Settings!$B$7,ROUND(Settings!$B$8*IF($E242="LONG",H242,I242),2)))</f>
        <v/>
      </c>
      <c r="K242" s="8">
        <f>IF($E242="","",IF($E242="LONG",H242+J242,I242-J242))</f>
        <v/>
      </c>
      <c r="L242" s="7" t="n"/>
      <c r="M242" s="8">
        <f>IF($E242="","",IF($E242="LONG",K242-O242,K242+O242))</f>
        <v/>
      </c>
      <c r="N242" s="7" t="n"/>
      <c r="O242" s="8">
        <f>IF(OR($E242="",AP242=""),"",ROUNDUP(ROUND(MAX(IF($E242="LONG",K242-I242,H242-K242),Settings!$B$9*AP242),6),2))</f>
        <v/>
      </c>
      <c r="P242" s="8">
        <f>IF($E242="","",N242*Settings!$B$4)</f>
        <v/>
      </c>
      <c r="Q242" s="9">
        <f>IF(O242="","",MIN(INT(ROUND(P242/O242,6)),INT(ROUND(Settings!$B$5/K242,6))))</f>
        <v/>
      </c>
      <c r="R242" s="8">
        <f>IF(O242="","",Q242*O242)</f>
        <v/>
      </c>
      <c r="S242" s="8">
        <f>IF(O242="","",IF($E242="LONG",K242+Settings!$B$6*O242,K242-Settings!$B$6*O242))</f>
        <v/>
      </c>
      <c r="T242" s="7" t="n"/>
      <c r="V242" s="8">
        <f>IF(OR($E242="",T242=""),"",IF($E242="LONG",(T242-L242)*Q242,(L242-T242)*Q242))</f>
        <v/>
      </c>
      <c r="W242" s="10">
        <f>IF(V242="","",V242/N242)</f>
        <v/>
      </c>
      <c r="X242" s="11">
        <f>IF(V242="","",V242/R242)</f>
        <v/>
      </c>
      <c r="Y242" s="8">
        <f>IF(OR($E242="",L242=""),"",IF($E242="LONG",L242-K242,K242-L242))</f>
        <v/>
      </c>
      <c r="AP242" s="7" t="n"/>
    </row>
    <row r="243">
      <c r="H243" s="7" t="n"/>
      <c r="I243" s="7" t="n"/>
      <c r="J243" s="8">
        <f>IF($E243="","",MAX(Settings!$B$7,ROUND(Settings!$B$8*IF($E243="LONG",H243,I243),2)))</f>
        <v/>
      </c>
      <c r="K243" s="8">
        <f>IF($E243="","",IF($E243="LONG",H243+J243,I243-J243))</f>
        <v/>
      </c>
      <c r="L243" s="7" t="n"/>
      <c r="M243" s="8">
        <f>IF($E243="","",IF($E243="LONG",K243-O243,K243+O243))</f>
        <v/>
      </c>
      <c r="N243" s="7" t="n"/>
      <c r="O243" s="8">
        <f>IF(OR($E243="",AP243=""),"",ROUNDUP(ROUND(MAX(IF($E243="LONG",K243-I243,H243-K243),Settings!$B$9*AP243),6),2))</f>
        <v/>
      </c>
      <c r="P243" s="8">
        <f>IF($E243="","",N243*Settings!$B$4)</f>
        <v/>
      </c>
      <c r="Q243" s="9">
        <f>IF(O243="","",MIN(INT(ROUND(P243/O243,6)),INT(ROUND(Settings!$B$5/K243,6))))</f>
        <v/>
      </c>
      <c r="R243" s="8">
        <f>IF(O243="","",Q243*O243)</f>
        <v/>
      </c>
      <c r="S243" s="8">
        <f>IF(O243="","",IF($E243="LONG",K243+Settings!$B$6*O243,K243-Settings!$B$6*O243))</f>
        <v/>
      </c>
      <c r="T243" s="7" t="n"/>
      <c r="V243" s="8">
        <f>IF(OR($E243="",T243=""),"",IF($E243="LONG",(T243-L243)*Q243,(L243-T243)*Q243))</f>
        <v/>
      </c>
      <c r="W243" s="10">
        <f>IF(V243="","",V243/N243)</f>
        <v/>
      </c>
      <c r="X243" s="11">
        <f>IF(V243="","",V243/R243)</f>
        <v/>
      </c>
      <c r="Y243" s="8">
        <f>IF(OR($E243="",L243=""),"",IF($E243="LONG",L243-K243,K243-L243))</f>
        <v/>
      </c>
      <c r="AP243" s="7" t="n"/>
    </row>
    <row r="244">
      <c r="H244" s="7" t="n"/>
      <c r="I244" s="7" t="n"/>
      <c r="J244" s="8">
        <f>IF($E244="","",MAX(Settings!$B$7,ROUND(Settings!$B$8*IF($E244="LONG",H244,I244),2)))</f>
        <v/>
      </c>
      <c r="K244" s="8">
        <f>IF($E244="","",IF($E244="LONG",H244+J244,I244-J244))</f>
        <v/>
      </c>
      <c r="L244" s="7" t="n"/>
      <c r="M244" s="8">
        <f>IF($E244="","",IF($E244="LONG",K244-O244,K244+O244))</f>
        <v/>
      </c>
      <c r="N244" s="7" t="n"/>
      <c r="O244" s="8">
        <f>IF(OR($E244="",AP244=""),"",ROUNDUP(ROUND(MAX(IF($E244="LONG",K244-I244,H244-K244),Settings!$B$9*AP244),6),2))</f>
        <v/>
      </c>
      <c r="P244" s="8">
        <f>IF($E244="","",N244*Settings!$B$4)</f>
        <v/>
      </c>
      <c r="Q244" s="9">
        <f>IF(O244="","",MIN(INT(ROUND(P244/O244,6)),INT(ROUND(Settings!$B$5/K244,6))))</f>
        <v/>
      </c>
      <c r="R244" s="8">
        <f>IF(O244="","",Q244*O244)</f>
        <v/>
      </c>
      <c r="S244" s="8">
        <f>IF(O244="","",IF($E244="LONG",K244+Settings!$B$6*O244,K244-Settings!$B$6*O244))</f>
        <v/>
      </c>
      <c r="T244" s="7" t="n"/>
      <c r="V244" s="8">
        <f>IF(OR($E244="",T244=""),"",IF($E244="LONG",(T244-L244)*Q244,(L244-T244)*Q244))</f>
        <v/>
      </c>
      <c r="W244" s="10">
        <f>IF(V244="","",V244/N244)</f>
        <v/>
      </c>
      <c r="X244" s="11">
        <f>IF(V244="","",V244/R244)</f>
        <v/>
      </c>
      <c r="Y244" s="8">
        <f>IF(OR($E244="",L244=""),"",IF($E244="LONG",L244-K244,K244-L244))</f>
        <v/>
      </c>
      <c r="AP244" s="7" t="n"/>
    </row>
    <row r="245">
      <c r="H245" s="7" t="n"/>
      <c r="I245" s="7" t="n"/>
      <c r="J245" s="8">
        <f>IF($E245="","",MAX(Settings!$B$7,ROUND(Settings!$B$8*IF($E245="LONG",H245,I245),2)))</f>
        <v/>
      </c>
      <c r="K245" s="8">
        <f>IF($E245="","",IF($E245="LONG",H245+J245,I245-J245))</f>
        <v/>
      </c>
      <c r="L245" s="7" t="n"/>
      <c r="M245" s="8">
        <f>IF($E245="","",IF($E245="LONG",K245-O245,K245+O245))</f>
        <v/>
      </c>
      <c r="N245" s="7" t="n"/>
      <c r="O245" s="8">
        <f>IF(OR($E245="",AP245=""),"",ROUNDUP(ROUND(MAX(IF($E245="LONG",K245-I245,H245-K245),Settings!$B$9*AP245),6),2))</f>
        <v/>
      </c>
      <c r="P245" s="8">
        <f>IF($E245="","",N245*Settings!$B$4)</f>
        <v/>
      </c>
      <c r="Q245" s="9">
        <f>IF(O245="","",MIN(INT(ROUND(P245/O245,6)),INT(ROUND(Settings!$B$5/K245,6))))</f>
        <v/>
      </c>
      <c r="R245" s="8">
        <f>IF(O245="","",Q245*O245)</f>
        <v/>
      </c>
      <c r="S245" s="8">
        <f>IF(O245="","",IF($E245="LONG",K245+Settings!$B$6*O245,K245-Settings!$B$6*O245))</f>
        <v/>
      </c>
      <c r="T245" s="7" t="n"/>
      <c r="V245" s="8">
        <f>IF(OR($E245="",T245=""),"",IF($E245="LONG",(T245-L245)*Q245,(L245-T245)*Q245))</f>
        <v/>
      </c>
      <c r="W245" s="10">
        <f>IF(V245="","",V245/N245)</f>
        <v/>
      </c>
      <c r="X245" s="11">
        <f>IF(V245="","",V245/R245)</f>
        <v/>
      </c>
      <c r="Y245" s="8">
        <f>IF(OR($E245="",L245=""),"",IF($E245="LONG",L245-K245,K245-L245))</f>
        <v/>
      </c>
      <c r="AP245" s="7" t="n"/>
    </row>
    <row r="246">
      <c r="H246" s="7" t="n"/>
      <c r="I246" s="7" t="n"/>
      <c r="J246" s="8">
        <f>IF($E246="","",MAX(Settings!$B$7,ROUND(Settings!$B$8*IF($E246="LONG",H246,I246),2)))</f>
        <v/>
      </c>
      <c r="K246" s="8">
        <f>IF($E246="","",IF($E246="LONG",H246+J246,I246-J246))</f>
        <v/>
      </c>
      <c r="L246" s="7" t="n"/>
      <c r="M246" s="8">
        <f>IF($E246="","",IF($E246="LONG",K246-O246,K246+O246))</f>
        <v/>
      </c>
      <c r="N246" s="7" t="n"/>
      <c r="O246" s="8">
        <f>IF(OR($E246="",AP246=""),"",ROUNDUP(ROUND(MAX(IF($E246="LONG",K246-I246,H246-K246),Settings!$B$9*AP246),6),2))</f>
        <v/>
      </c>
      <c r="P246" s="8">
        <f>IF($E246="","",N246*Settings!$B$4)</f>
        <v/>
      </c>
      <c r="Q246" s="9">
        <f>IF(O246="","",MIN(INT(ROUND(P246/O246,6)),INT(ROUND(Settings!$B$5/K246,6))))</f>
        <v/>
      </c>
      <c r="R246" s="8">
        <f>IF(O246="","",Q246*O246)</f>
        <v/>
      </c>
      <c r="S246" s="8">
        <f>IF(O246="","",IF($E246="LONG",K246+Settings!$B$6*O246,K246-Settings!$B$6*O246))</f>
        <v/>
      </c>
      <c r="T246" s="7" t="n"/>
      <c r="V246" s="8">
        <f>IF(OR($E246="",T246=""),"",IF($E246="LONG",(T246-L246)*Q246,(L246-T246)*Q246))</f>
        <v/>
      </c>
      <c r="W246" s="10">
        <f>IF(V246="","",V246/N246)</f>
        <v/>
      </c>
      <c r="X246" s="11">
        <f>IF(V246="","",V246/R246)</f>
        <v/>
      </c>
      <c r="Y246" s="8">
        <f>IF(OR($E246="",L246=""),"",IF($E246="LONG",L246-K246,K246-L246))</f>
        <v/>
      </c>
      <c r="AP246" s="7" t="n"/>
    </row>
    <row r="247">
      <c r="H247" s="7" t="n"/>
      <c r="I247" s="7" t="n"/>
      <c r="J247" s="8">
        <f>IF($E247="","",MAX(Settings!$B$7,ROUND(Settings!$B$8*IF($E247="LONG",H247,I247),2)))</f>
        <v/>
      </c>
      <c r="K247" s="8">
        <f>IF($E247="","",IF($E247="LONG",H247+J247,I247-J247))</f>
        <v/>
      </c>
      <c r="L247" s="7" t="n"/>
      <c r="M247" s="8">
        <f>IF($E247="","",IF($E247="LONG",K247-O247,K247+O247))</f>
        <v/>
      </c>
      <c r="N247" s="7" t="n"/>
      <c r="O247" s="8">
        <f>IF(OR($E247="",AP247=""),"",ROUNDUP(ROUND(MAX(IF($E247="LONG",K247-I247,H247-K247),Settings!$B$9*AP247),6),2))</f>
        <v/>
      </c>
      <c r="P247" s="8">
        <f>IF($E247="","",N247*Settings!$B$4)</f>
        <v/>
      </c>
      <c r="Q247" s="9">
        <f>IF(O247="","",MIN(INT(ROUND(P247/O247,6)),INT(ROUND(Settings!$B$5/K247,6))))</f>
        <v/>
      </c>
      <c r="R247" s="8">
        <f>IF(O247="","",Q247*O247)</f>
        <v/>
      </c>
      <c r="S247" s="8">
        <f>IF(O247="","",IF($E247="LONG",K247+Settings!$B$6*O247,K247-Settings!$B$6*O247))</f>
        <v/>
      </c>
      <c r="T247" s="7" t="n"/>
      <c r="V247" s="8">
        <f>IF(OR($E247="",T247=""),"",IF($E247="LONG",(T247-L247)*Q247,(L247-T247)*Q247))</f>
        <v/>
      </c>
      <c r="W247" s="10">
        <f>IF(V247="","",V247/N247)</f>
        <v/>
      </c>
      <c r="X247" s="11">
        <f>IF(V247="","",V247/R247)</f>
        <v/>
      </c>
      <c r="Y247" s="8">
        <f>IF(OR($E247="",L247=""),"",IF($E247="LONG",L247-K247,K247-L247))</f>
        <v/>
      </c>
      <c r="AP247" s="7" t="n"/>
    </row>
    <row r="248">
      <c r="H248" s="7" t="n"/>
      <c r="I248" s="7" t="n"/>
      <c r="J248" s="8">
        <f>IF($E248="","",MAX(Settings!$B$7,ROUND(Settings!$B$8*IF($E248="LONG",H248,I248),2)))</f>
        <v/>
      </c>
      <c r="K248" s="8">
        <f>IF($E248="","",IF($E248="LONG",H248+J248,I248-J248))</f>
        <v/>
      </c>
      <c r="L248" s="7" t="n"/>
      <c r="M248" s="8">
        <f>IF($E248="","",IF($E248="LONG",K248-O248,K248+O248))</f>
        <v/>
      </c>
      <c r="N248" s="7" t="n"/>
      <c r="O248" s="8">
        <f>IF(OR($E248="",AP248=""),"",ROUNDUP(ROUND(MAX(IF($E248="LONG",K248-I248,H248-K248),Settings!$B$9*AP248),6),2))</f>
        <v/>
      </c>
      <c r="P248" s="8">
        <f>IF($E248="","",N248*Settings!$B$4)</f>
        <v/>
      </c>
      <c r="Q248" s="9">
        <f>IF(O248="","",MIN(INT(ROUND(P248/O248,6)),INT(ROUND(Settings!$B$5/K248,6))))</f>
        <v/>
      </c>
      <c r="R248" s="8">
        <f>IF(O248="","",Q248*O248)</f>
        <v/>
      </c>
      <c r="S248" s="8">
        <f>IF(O248="","",IF($E248="LONG",K248+Settings!$B$6*O248,K248-Settings!$B$6*O248))</f>
        <v/>
      </c>
      <c r="T248" s="7" t="n"/>
      <c r="V248" s="8">
        <f>IF(OR($E248="",T248=""),"",IF($E248="LONG",(T248-L248)*Q248,(L248-T248)*Q248))</f>
        <v/>
      </c>
      <c r="W248" s="10">
        <f>IF(V248="","",V248/N248)</f>
        <v/>
      </c>
      <c r="X248" s="11">
        <f>IF(V248="","",V248/R248)</f>
        <v/>
      </c>
      <c r="Y248" s="8">
        <f>IF(OR($E248="",L248=""),"",IF($E248="LONG",L248-K248,K248-L248))</f>
        <v/>
      </c>
      <c r="AP248" s="7" t="n"/>
    </row>
    <row r="249">
      <c r="H249" s="7" t="n"/>
      <c r="I249" s="7" t="n"/>
      <c r="J249" s="8">
        <f>IF($E249="","",MAX(Settings!$B$7,ROUND(Settings!$B$8*IF($E249="LONG",H249,I249),2)))</f>
        <v/>
      </c>
      <c r="K249" s="8">
        <f>IF($E249="","",IF($E249="LONG",H249+J249,I249-J249))</f>
        <v/>
      </c>
      <c r="L249" s="7" t="n"/>
      <c r="M249" s="8">
        <f>IF($E249="","",IF($E249="LONG",K249-O249,K249+O249))</f>
        <v/>
      </c>
      <c r="N249" s="7" t="n"/>
      <c r="O249" s="8">
        <f>IF(OR($E249="",AP249=""),"",ROUNDUP(ROUND(MAX(IF($E249="LONG",K249-I249,H249-K249),Settings!$B$9*AP249),6),2))</f>
        <v/>
      </c>
      <c r="P249" s="8">
        <f>IF($E249="","",N249*Settings!$B$4)</f>
        <v/>
      </c>
      <c r="Q249" s="9">
        <f>IF(O249="","",MIN(INT(ROUND(P249/O249,6)),INT(ROUND(Settings!$B$5/K249,6))))</f>
        <v/>
      </c>
      <c r="R249" s="8">
        <f>IF(O249="","",Q249*O249)</f>
        <v/>
      </c>
      <c r="S249" s="8">
        <f>IF(O249="","",IF($E249="LONG",K249+Settings!$B$6*O249,K249-Settings!$B$6*O249))</f>
        <v/>
      </c>
      <c r="T249" s="7" t="n"/>
      <c r="V249" s="8">
        <f>IF(OR($E249="",T249=""),"",IF($E249="LONG",(T249-L249)*Q249,(L249-T249)*Q249))</f>
        <v/>
      </c>
      <c r="W249" s="10">
        <f>IF(V249="","",V249/N249)</f>
        <v/>
      </c>
      <c r="X249" s="11">
        <f>IF(V249="","",V249/R249)</f>
        <v/>
      </c>
      <c r="Y249" s="8">
        <f>IF(OR($E249="",L249=""),"",IF($E249="LONG",L249-K249,K249-L249))</f>
        <v/>
      </c>
      <c r="AP249" s="7" t="n"/>
    </row>
    <row r="250">
      <c r="H250" s="7" t="n"/>
      <c r="I250" s="7" t="n"/>
      <c r="J250" s="8">
        <f>IF($E250="","",MAX(Settings!$B$7,ROUND(Settings!$B$8*IF($E250="LONG",H250,I250),2)))</f>
        <v/>
      </c>
      <c r="K250" s="8">
        <f>IF($E250="","",IF($E250="LONG",H250+J250,I250-J250))</f>
        <v/>
      </c>
      <c r="L250" s="7" t="n"/>
      <c r="M250" s="8">
        <f>IF($E250="","",IF($E250="LONG",K250-O250,K250+O250))</f>
        <v/>
      </c>
      <c r="N250" s="7" t="n"/>
      <c r="O250" s="8">
        <f>IF(OR($E250="",AP250=""),"",ROUNDUP(ROUND(MAX(IF($E250="LONG",K250-I250,H250-K250),Settings!$B$9*AP250),6),2))</f>
        <v/>
      </c>
      <c r="P250" s="8">
        <f>IF($E250="","",N250*Settings!$B$4)</f>
        <v/>
      </c>
      <c r="Q250" s="9">
        <f>IF(O250="","",MIN(INT(ROUND(P250/O250,6)),INT(ROUND(Settings!$B$5/K250,6))))</f>
        <v/>
      </c>
      <c r="R250" s="8">
        <f>IF(O250="","",Q250*O250)</f>
        <v/>
      </c>
      <c r="S250" s="8">
        <f>IF(O250="","",IF($E250="LONG",K250+Settings!$B$6*O250,K250-Settings!$B$6*O250))</f>
        <v/>
      </c>
      <c r="T250" s="7" t="n"/>
      <c r="V250" s="8">
        <f>IF(OR($E250="",T250=""),"",IF($E250="LONG",(T250-L250)*Q250,(L250-T250)*Q250))</f>
        <v/>
      </c>
      <c r="W250" s="10">
        <f>IF(V250="","",V250/N250)</f>
        <v/>
      </c>
      <c r="X250" s="11">
        <f>IF(V250="","",V250/R250)</f>
        <v/>
      </c>
      <c r="Y250" s="8">
        <f>IF(OR($E250="",L250=""),"",IF($E250="LONG",L250-K250,K250-L250))</f>
        <v/>
      </c>
      <c r="AP250" s="7" t="n"/>
    </row>
    <row r="251">
      <c r="H251" s="7" t="n"/>
      <c r="I251" s="7" t="n"/>
      <c r="J251" s="8">
        <f>IF($E251="","",MAX(Settings!$B$7,ROUND(Settings!$B$8*IF($E251="LONG",H251,I251),2)))</f>
        <v/>
      </c>
      <c r="K251" s="8">
        <f>IF($E251="","",IF($E251="LONG",H251+J251,I251-J251))</f>
        <v/>
      </c>
      <c r="L251" s="7" t="n"/>
      <c r="M251" s="8">
        <f>IF($E251="","",IF($E251="LONG",K251-O251,K251+O251))</f>
        <v/>
      </c>
      <c r="N251" s="7" t="n"/>
      <c r="O251" s="8">
        <f>IF(OR($E251="",AP251=""),"",ROUNDUP(ROUND(MAX(IF($E251="LONG",K251-I251,H251-K251),Settings!$B$9*AP251),6),2))</f>
        <v/>
      </c>
      <c r="P251" s="8">
        <f>IF($E251="","",N251*Settings!$B$4)</f>
        <v/>
      </c>
      <c r="Q251" s="9">
        <f>IF(O251="","",MIN(INT(ROUND(P251/O251,6)),INT(ROUND(Settings!$B$5/K251,6))))</f>
        <v/>
      </c>
      <c r="R251" s="8">
        <f>IF(O251="","",Q251*O251)</f>
        <v/>
      </c>
      <c r="S251" s="8">
        <f>IF(O251="","",IF($E251="LONG",K251+Settings!$B$6*O251,K251-Settings!$B$6*O251))</f>
        <v/>
      </c>
      <c r="T251" s="7" t="n"/>
      <c r="V251" s="8">
        <f>IF(OR($E251="",T251=""),"",IF($E251="LONG",(T251-L251)*Q251,(L251-T251)*Q251))</f>
        <v/>
      </c>
      <c r="W251" s="10">
        <f>IF(V251="","",V251/N251)</f>
        <v/>
      </c>
      <c r="X251" s="11">
        <f>IF(V251="","",V251/R251)</f>
        <v/>
      </c>
      <c r="Y251" s="8">
        <f>IF(OR($E251="",L251=""),"",IF($E251="LONG",L251-K251,K251-L251))</f>
        <v/>
      </c>
      <c r="AP251" s="7" t="n"/>
    </row>
    <row r="252">
      <c r="H252" s="7" t="n"/>
      <c r="I252" s="7" t="n"/>
      <c r="J252" s="8">
        <f>IF($E252="","",MAX(Settings!$B$7,ROUND(Settings!$B$8*IF($E252="LONG",H252,I252),2)))</f>
        <v/>
      </c>
      <c r="K252" s="8">
        <f>IF($E252="","",IF($E252="LONG",H252+J252,I252-J252))</f>
        <v/>
      </c>
      <c r="L252" s="7" t="n"/>
      <c r="M252" s="8">
        <f>IF($E252="","",IF($E252="LONG",K252-O252,K252+O252))</f>
        <v/>
      </c>
      <c r="N252" s="7" t="n"/>
      <c r="O252" s="8">
        <f>IF(OR($E252="",AP252=""),"",ROUNDUP(ROUND(MAX(IF($E252="LONG",K252-I252,H252-K252),Settings!$B$9*AP252),6),2))</f>
        <v/>
      </c>
      <c r="P252" s="8">
        <f>IF($E252="","",N252*Settings!$B$4)</f>
        <v/>
      </c>
      <c r="Q252" s="9">
        <f>IF(O252="","",MIN(INT(ROUND(P252/O252,6)),INT(ROUND(Settings!$B$5/K252,6))))</f>
        <v/>
      </c>
      <c r="R252" s="8">
        <f>IF(O252="","",Q252*O252)</f>
        <v/>
      </c>
      <c r="S252" s="8">
        <f>IF(O252="","",IF($E252="LONG",K252+Settings!$B$6*O252,K252-Settings!$B$6*O252))</f>
        <v/>
      </c>
      <c r="T252" s="7" t="n"/>
      <c r="V252" s="8">
        <f>IF(OR($E252="",T252=""),"",IF($E252="LONG",(T252-L252)*Q252,(L252-T252)*Q252))</f>
        <v/>
      </c>
      <c r="W252" s="10">
        <f>IF(V252="","",V252/N252)</f>
        <v/>
      </c>
      <c r="X252" s="11">
        <f>IF(V252="","",V252/R252)</f>
        <v/>
      </c>
      <c r="Y252" s="8">
        <f>IF(OR($E252="",L252=""),"",IF($E252="LONG",L252-K252,K252-L252))</f>
        <v/>
      </c>
      <c r="AP252" s="7" t="n"/>
    </row>
    <row r="253">
      <c r="H253" s="7" t="n"/>
      <c r="I253" s="7" t="n"/>
      <c r="J253" s="8">
        <f>IF($E253="","",MAX(Settings!$B$7,ROUND(Settings!$B$8*IF($E253="LONG",H253,I253),2)))</f>
        <v/>
      </c>
      <c r="K253" s="8">
        <f>IF($E253="","",IF($E253="LONG",H253+J253,I253-J253))</f>
        <v/>
      </c>
      <c r="L253" s="7" t="n"/>
      <c r="M253" s="8">
        <f>IF($E253="","",IF($E253="LONG",K253-O253,K253+O253))</f>
        <v/>
      </c>
      <c r="N253" s="7" t="n"/>
      <c r="O253" s="8">
        <f>IF(OR($E253="",AP253=""),"",ROUNDUP(ROUND(MAX(IF($E253="LONG",K253-I253,H253-K253),Settings!$B$9*AP253),6),2))</f>
        <v/>
      </c>
      <c r="P253" s="8">
        <f>IF($E253="","",N253*Settings!$B$4)</f>
        <v/>
      </c>
      <c r="Q253" s="9">
        <f>IF(O253="","",MIN(INT(ROUND(P253/O253,6)),INT(ROUND(Settings!$B$5/K253,6))))</f>
        <v/>
      </c>
      <c r="R253" s="8">
        <f>IF(O253="","",Q253*O253)</f>
        <v/>
      </c>
      <c r="S253" s="8">
        <f>IF(O253="","",IF($E253="LONG",K253+Settings!$B$6*O253,K253-Settings!$B$6*O253))</f>
        <v/>
      </c>
      <c r="T253" s="7" t="n"/>
      <c r="V253" s="8">
        <f>IF(OR($E253="",T253=""),"",IF($E253="LONG",(T253-L253)*Q253,(L253-T253)*Q253))</f>
        <v/>
      </c>
      <c r="W253" s="10">
        <f>IF(V253="","",V253/N253)</f>
        <v/>
      </c>
      <c r="X253" s="11">
        <f>IF(V253="","",V253/R253)</f>
        <v/>
      </c>
      <c r="Y253" s="8">
        <f>IF(OR($E253="",L253=""),"",IF($E253="LONG",L253-K253,K253-L253))</f>
        <v/>
      </c>
      <c r="AP253" s="7" t="n"/>
    </row>
    <row r="254">
      <c r="H254" s="7" t="n"/>
      <c r="I254" s="7" t="n"/>
      <c r="J254" s="8">
        <f>IF($E254="","",MAX(Settings!$B$7,ROUND(Settings!$B$8*IF($E254="LONG",H254,I254),2)))</f>
        <v/>
      </c>
      <c r="K254" s="8">
        <f>IF($E254="","",IF($E254="LONG",H254+J254,I254-J254))</f>
        <v/>
      </c>
      <c r="L254" s="7" t="n"/>
      <c r="M254" s="8">
        <f>IF($E254="","",IF($E254="LONG",K254-O254,K254+O254))</f>
        <v/>
      </c>
      <c r="N254" s="7" t="n"/>
      <c r="O254" s="8">
        <f>IF(OR($E254="",AP254=""),"",ROUNDUP(ROUND(MAX(IF($E254="LONG",K254-I254,H254-K254),Settings!$B$9*AP254),6),2))</f>
        <v/>
      </c>
      <c r="P254" s="8">
        <f>IF($E254="","",N254*Settings!$B$4)</f>
        <v/>
      </c>
      <c r="Q254" s="9">
        <f>IF(O254="","",MIN(INT(ROUND(P254/O254,6)),INT(ROUND(Settings!$B$5/K254,6))))</f>
        <v/>
      </c>
      <c r="R254" s="8">
        <f>IF(O254="","",Q254*O254)</f>
        <v/>
      </c>
      <c r="S254" s="8">
        <f>IF(O254="","",IF($E254="LONG",K254+Settings!$B$6*O254,K254-Settings!$B$6*O254))</f>
        <v/>
      </c>
      <c r="T254" s="7" t="n"/>
      <c r="V254" s="8">
        <f>IF(OR($E254="",T254=""),"",IF($E254="LONG",(T254-L254)*Q254,(L254-T254)*Q254))</f>
        <v/>
      </c>
      <c r="W254" s="10">
        <f>IF(V254="","",V254/N254)</f>
        <v/>
      </c>
      <c r="X254" s="11">
        <f>IF(V254="","",V254/R254)</f>
        <v/>
      </c>
      <c r="Y254" s="8">
        <f>IF(OR($E254="",L254=""),"",IF($E254="LONG",L254-K254,K254-L254))</f>
        <v/>
      </c>
      <c r="AP254" s="7" t="n"/>
    </row>
    <row r="255">
      <c r="H255" s="7" t="n"/>
      <c r="I255" s="7" t="n"/>
      <c r="J255" s="8">
        <f>IF($E255="","",MAX(Settings!$B$7,ROUND(Settings!$B$8*IF($E255="LONG",H255,I255),2)))</f>
        <v/>
      </c>
      <c r="K255" s="8">
        <f>IF($E255="","",IF($E255="LONG",H255+J255,I255-J255))</f>
        <v/>
      </c>
      <c r="L255" s="7" t="n"/>
      <c r="M255" s="8">
        <f>IF($E255="","",IF($E255="LONG",K255-O255,K255+O255))</f>
        <v/>
      </c>
      <c r="N255" s="7" t="n"/>
      <c r="O255" s="8">
        <f>IF(OR($E255="",AP255=""),"",ROUNDUP(ROUND(MAX(IF($E255="LONG",K255-I255,H255-K255),Settings!$B$9*AP255),6),2))</f>
        <v/>
      </c>
      <c r="P255" s="8">
        <f>IF($E255="","",N255*Settings!$B$4)</f>
        <v/>
      </c>
      <c r="Q255" s="9">
        <f>IF(O255="","",MIN(INT(ROUND(P255/O255,6)),INT(ROUND(Settings!$B$5/K255,6))))</f>
        <v/>
      </c>
      <c r="R255" s="8">
        <f>IF(O255="","",Q255*O255)</f>
        <v/>
      </c>
      <c r="S255" s="8">
        <f>IF(O255="","",IF($E255="LONG",K255+Settings!$B$6*O255,K255-Settings!$B$6*O255))</f>
        <v/>
      </c>
      <c r="T255" s="7" t="n"/>
      <c r="V255" s="8">
        <f>IF(OR($E255="",T255=""),"",IF($E255="LONG",(T255-L255)*Q255,(L255-T255)*Q255))</f>
        <v/>
      </c>
      <c r="W255" s="10">
        <f>IF(V255="","",V255/N255)</f>
        <v/>
      </c>
      <c r="X255" s="11">
        <f>IF(V255="","",V255/R255)</f>
        <v/>
      </c>
      <c r="Y255" s="8">
        <f>IF(OR($E255="",L255=""),"",IF($E255="LONG",L255-K255,K255-L255))</f>
        <v/>
      </c>
      <c r="AP255" s="7" t="n"/>
    </row>
    <row r="256">
      <c r="H256" s="7" t="n"/>
      <c r="I256" s="7" t="n"/>
      <c r="J256" s="8">
        <f>IF($E256="","",MAX(Settings!$B$7,ROUND(Settings!$B$8*IF($E256="LONG",H256,I256),2)))</f>
        <v/>
      </c>
      <c r="K256" s="8">
        <f>IF($E256="","",IF($E256="LONG",H256+J256,I256-J256))</f>
        <v/>
      </c>
      <c r="L256" s="7" t="n"/>
      <c r="M256" s="8">
        <f>IF($E256="","",IF($E256="LONG",K256-O256,K256+O256))</f>
        <v/>
      </c>
      <c r="N256" s="7" t="n"/>
      <c r="O256" s="8">
        <f>IF(OR($E256="",AP256=""),"",ROUNDUP(ROUND(MAX(IF($E256="LONG",K256-I256,H256-K256),Settings!$B$9*AP256),6),2))</f>
        <v/>
      </c>
      <c r="P256" s="8">
        <f>IF($E256="","",N256*Settings!$B$4)</f>
        <v/>
      </c>
      <c r="Q256" s="9">
        <f>IF(O256="","",MIN(INT(ROUND(P256/O256,6)),INT(ROUND(Settings!$B$5/K256,6))))</f>
        <v/>
      </c>
      <c r="R256" s="8">
        <f>IF(O256="","",Q256*O256)</f>
        <v/>
      </c>
      <c r="S256" s="8">
        <f>IF(O256="","",IF($E256="LONG",K256+Settings!$B$6*O256,K256-Settings!$B$6*O256))</f>
        <v/>
      </c>
      <c r="T256" s="7" t="n"/>
      <c r="V256" s="8">
        <f>IF(OR($E256="",T256=""),"",IF($E256="LONG",(T256-L256)*Q256,(L256-T256)*Q256))</f>
        <v/>
      </c>
      <c r="W256" s="10">
        <f>IF(V256="","",V256/N256)</f>
        <v/>
      </c>
      <c r="X256" s="11">
        <f>IF(V256="","",V256/R256)</f>
        <v/>
      </c>
      <c r="Y256" s="8">
        <f>IF(OR($E256="",L256=""),"",IF($E256="LONG",L256-K256,K256-L256))</f>
        <v/>
      </c>
      <c r="AP256" s="7" t="n"/>
    </row>
    <row r="257">
      <c r="H257" s="7" t="n"/>
      <c r="I257" s="7" t="n"/>
      <c r="J257" s="8">
        <f>IF($E257="","",MAX(Settings!$B$7,ROUND(Settings!$B$8*IF($E257="LONG",H257,I257),2)))</f>
        <v/>
      </c>
      <c r="K257" s="8">
        <f>IF($E257="","",IF($E257="LONG",H257+J257,I257-J257))</f>
        <v/>
      </c>
      <c r="L257" s="7" t="n"/>
      <c r="M257" s="8">
        <f>IF($E257="","",IF($E257="LONG",K257-O257,K257+O257))</f>
        <v/>
      </c>
      <c r="N257" s="7" t="n"/>
      <c r="O257" s="8">
        <f>IF(OR($E257="",AP257=""),"",ROUNDUP(ROUND(MAX(IF($E257="LONG",K257-I257,H257-K257),Settings!$B$9*AP257),6),2))</f>
        <v/>
      </c>
      <c r="P257" s="8">
        <f>IF($E257="","",N257*Settings!$B$4)</f>
        <v/>
      </c>
      <c r="Q257" s="9">
        <f>IF(O257="","",MIN(INT(ROUND(P257/O257,6)),INT(ROUND(Settings!$B$5/K257,6))))</f>
        <v/>
      </c>
      <c r="R257" s="8">
        <f>IF(O257="","",Q257*O257)</f>
        <v/>
      </c>
      <c r="S257" s="8">
        <f>IF(O257="","",IF($E257="LONG",K257+Settings!$B$6*O257,K257-Settings!$B$6*O257))</f>
        <v/>
      </c>
      <c r="T257" s="7" t="n"/>
      <c r="V257" s="8">
        <f>IF(OR($E257="",T257=""),"",IF($E257="LONG",(T257-L257)*Q257,(L257-T257)*Q257))</f>
        <v/>
      </c>
      <c r="W257" s="10">
        <f>IF(V257="","",V257/N257)</f>
        <v/>
      </c>
      <c r="X257" s="11">
        <f>IF(V257="","",V257/R257)</f>
        <v/>
      </c>
      <c r="Y257" s="8">
        <f>IF(OR($E257="",L257=""),"",IF($E257="LONG",L257-K257,K257-L257))</f>
        <v/>
      </c>
      <c r="AP257" s="7" t="n"/>
    </row>
    <row r="258">
      <c r="H258" s="7" t="n"/>
      <c r="I258" s="7" t="n"/>
      <c r="J258" s="8">
        <f>IF($E258="","",MAX(Settings!$B$7,ROUND(Settings!$B$8*IF($E258="LONG",H258,I258),2)))</f>
        <v/>
      </c>
      <c r="K258" s="8">
        <f>IF($E258="","",IF($E258="LONG",H258+J258,I258-J258))</f>
        <v/>
      </c>
      <c r="L258" s="7" t="n"/>
      <c r="M258" s="8">
        <f>IF($E258="","",IF($E258="LONG",K258-O258,K258+O258))</f>
        <v/>
      </c>
      <c r="N258" s="7" t="n"/>
      <c r="O258" s="8">
        <f>IF(OR($E258="",AP258=""),"",ROUNDUP(ROUND(MAX(IF($E258="LONG",K258-I258,H258-K258),Settings!$B$9*AP258),6),2))</f>
        <v/>
      </c>
      <c r="P258" s="8">
        <f>IF($E258="","",N258*Settings!$B$4)</f>
        <v/>
      </c>
      <c r="Q258" s="9">
        <f>IF(O258="","",MIN(INT(ROUND(P258/O258,6)),INT(ROUND(Settings!$B$5/K258,6))))</f>
        <v/>
      </c>
      <c r="R258" s="8">
        <f>IF(O258="","",Q258*O258)</f>
        <v/>
      </c>
      <c r="S258" s="8">
        <f>IF(O258="","",IF($E258="LONG",K258+Settings!$B$6*O258,K258-Settings!$B$6*O258))</f>
        <v/>
      </c>
      <c r="T258" s="7" t="n"/>
      <c r="V258" s="8">
        <f>IF(OR($E258="",T258=""),"",IF($E258="LONG",(T258-L258)*Q258,(L258-T258)*Q258))</f>
        <v/>
      </c>
      <c r="W258" s="10">
        <f>IF(V258="","",V258/N258)</f>
        <v/>
      </c>
      <c r="X258" s="11">
        <f>IF(V258="","",V258/R258)</f>
        <v/>
      </c>
      <c r="Y258" s="8">
        <f>IF(OR($E258="",L258=""),"",IF($E258="LONG",L258-K258,K258-L258))</f>
        <v/>
      </c>
      <c r="AP258" s="7" t="n"/>
    </row>
    <row r="259">
      <c r="H259" s="7" t="n"/>
      <c r="I259" s="7" t="n"/>
      <c r="J259" s="8">
        <f>IF($E259="","",MAX(Settings!$B$7,ROUND(Settings!$B$8*IF($E259="LONG",H259,I259),2)))</f>
        <v/>
      </c>
      <c r="K259" s="8">
        <f>IF($E259="","",IF($E259="LONG",H259+J259,I259-J259))</f>
        <v/>
      </c>
      <c r="L259" s="7" t="n"/>
      <c r="M259" s="8">
        <f>IF($E259="","",IF($E259="LONG",K259-O259,K259+O259))</f>
        <v/>
      </c>
      <c r="N259" s="7" t="n"/>
      <c r="O259" s="8">
        <f>IF(OR($E259="",AP259=""),"",ROUNDUP(ROUND(MAX(IF($E259="LONG",K259-I259,H259-K259),Settings!$B$9*AP259),6),2))</f>
        <v/>
      </c>
      <c r="P259" s="8">
        <f>IF($E259="","",N259*Settings!$B$4)</f>
        <v/>
      </c>
      <c r="Q259" s="9">
        <f>IF(O259="","",MIN(INT(ROUND(P259/O259,6)),INT(ROUND(Settings!$B$5/K259,6))))</f>
        <v/>
      </c>
      <c r="R259" s="8">
        <f>IF(O259="","",Q259*O259)</f>
        <v/>
      </c>
      <c r="S259" s="8">
        <f>IF(O259="","",IF($E259="LONG",K259+Settings!$B$6*O259,K259-Settings!$B$6*O259))</f>
        <v/>
      </c>
      <c r="T259" s="7" t="n"/>
      <c r="V259" s="8">
        <f>IF(OR($E259="",T259=""),"",IF($E259="LONG",(T259-L259)*Q259,(L259-T259)*Q259))</f>
        <v/>
      </c>
      <c r="W259" s="10">
        <f>IF(V259="","",V259/N259)</f>
        <v/>
      </c>
      <c r="X259" s="11">
        <f>IF(V259="","",V259/R259)</f>
        <v/>
      </c>
      <c r="Y259" s="8">
        <f>IF(OR($E259="",L259=""),"",IF($E259="LONG",L259-K259,K259-L259))</f>
        <v/>
      </c>
      <c r="AP259" s="7" t="n"/>
    </row>
    <row r="260">
      <c r="H260" s="7" t="n"/>
      <c r="I260" s="7" t="n"/>
      <c r="J260" s="8">
        <f>IF($E260="","",MAX(Settings!$B$7,ROUND(Settings!$B$8*IF($E260="LONG",H260,I260),2)))</f>
        <v/>
      </c>
      <c r="K260" s="8">
        <f>IF($E260="","",IF($E260="LONG",H260+J260,I260-J260))</f>
        <v/>
      </c>
      <c r="L260" s="7" t="n"/>
      <c r="M260" s="8">
        <f>IF($E260="","",IF($E260="LONG",K260-O260,K260+O260))</f>
        <v/>
      </c>
      <c r="N260" s="7" t="n"/>
      <c r="O260" s="8">
        <f>IF(OR($E260="",AP260=""),"",ROUNDUP(ROUND(MAX(IF($E260="LONG",K260-I260,H260-K260),Settings!$B$9*AP260),6),2))</f>
        <v/>
      </c>
      <c r="P260" s="8">
        <f>IF($E260="","",N260*Settings!$B$4)</f>
        <v/>
      </c>
      <c r="Q260" s="9">
        <f>IF(O260="","",MIN(INT(ROUND(P260/O260,6)),INT(ROUND(Settings!$B$5/K260,6))))</f>
        <v/>
      </c>
      <c r="R260" s="8">
        <f>IF(O260="","",Q260*O260)</f>
        <v/>
      </c>
      <c r="S260" s="8">
        <f>IF(O260="","",IF($E260="LONG",K260+Settings!$B$6*O260,K260-Settings!$B$6*O260))</f>
        <v/>
      </c>
      <c r="T260" s="7" t="n"/>
      <c r="V260" s="8">
        <f>IF(OR($E260="",T260=""),"",IF($E260="LONG",(T260-L260)*Q260,(L260-T260)*Q260))</f>
        <v/>
      </c>
      <c r="W260" s="10">
        <f>IF(V260="","",V260/N260)</f>
        <v/>
      </c>
      <c r="X260" s="11">
        <f>IF(V260="","",V260/R260)</f>
        <v/>
      </c>
      <c r="Y260" s="8">
        <f>IF(OR($E260="",L260=""),"",IF($E260="LONG",L260-K260,K260-L260))</f>
        <v/>
      </c>
      <c r="AP260" s="7" t="n"/>
    </row>
    <row r="261">
      <c r="H261" s="7" t="n"/>
      <c r="I261" s="7" t="n"/>
      <c r="J261" s="8">
        <f>IF($E261="","",MAX(Settings!$B$7,ROUND(Settings!$B$8*IF($E261="LONG",H261,I261),2)))</f>
        <v/>
      </c>
      <c r="K261" s="8">
        <f>IF($E261="","",IF($E261="LONG",H261+J261,I261-J261))</f>
        <v/>
      </c>
      <c r="L261" s="7" t="n"/>
      <c r="M261" s="8">
        <f>IF($E261="","",IF($E261="LONG",K261-O261,K261+O261))</f>
        <v/>
      </c>
      <c r="N261" s="7" t="n"/>
      <c r="O261" s="8">
        <f>IF(OR($E261="",AP261=""),"",ROUNDUP(ROUND(MAX(IF($E261="LONG",K261-I261,H261-K261),Settings!$B$9*AP261),6),2))</f>
        <v/>
      </c>
      <c r="P261" s="8">
        <f>IF($E261="","",N261*Settings!$B$4)</f>
        <v/>
      </c>
      <c r="Q261" s="9">
        <f>IF(O261="","",MIN(INT(ROUND(P261/O261,6)),INT(ROUND(Settings!$B$5/K261,6))))</f>
        <v/>
      </c>
      <c r="R261" s="8">
        <f>IF(O261="","",Q261*O261)</f>
        <v/>
      </c>
      <c r="S261" s="8">
        <f>IF(O261="","",IF($E261="LONG",K261+Settings!$B$6*O261,K261-Settings!$B$6*O261))</f>
        <v/>
      </c>
      <c r="T261" s="7" t="n"/>
      <c r="V261" s="8">
        <f>IF(OR($E261="",T261=""),"",IF($E261="LONG",(T261-L261)*Q261,(L261-T261)*Q261))</f>
        <v/>
      </c>
      <c r="W261" s="10">
        <f>IF(V261="","",V261/N261)</f>
        <v/>
      </c>
      <c r="X261" s="11">
        <f>IF(V261="","",V261/R261)</f>
        <v/>
      </c>
      <c r="Y261" s="8">
        <f>IF(OR($E261="",L261=""),"",IF($E261="LONG",L261-K261,K261-L261))</f>
        <v/>
      </c>
      <c r="AP261" s="7" t="n"/>
    </row>
    <row r="262">
      <c r="H262" s="7" t="n"/>
      <c r="I262" s="7" t="n"/>
      <c r="J262" s="8">
        <f>IF($E262="","",MAX(Settings!$B$7,ROUND(Settings!$B$8*IF($E262="LONG",H262,I262),2)))</f>
        <v/>
      </c>
      <c r="K262" s="8">
        <f>IF($E262="","",IF($E262="LONG",H262+J262,I262-J262))</f>
        <v/>
      </c>
      <c r="L262" s="7" t="n"/>
      <c r="M262" s="8">
        <f>IF($E262="","",IF($E262="LONG",K262-O262,K262+O262))</f>
        <v/>
      </c>
      <c r="N262" s="7" t="n"/>
      <c r="O262" s="8">
        <f>IF(OR($E262="",AP262=""),"",ROUNDUP(ROUND(MAX(IF($E262="LONG",K262-I262,H262-K262),Settings!$B$9*AP262),6),2))</f>
        <v/>
      </c>
      <c r="P262" s="8">
        <f>IF($E262="","",N262*Settings!$B$4)</f>
        <v/>
      </c>
      <c r="Q262" s="9">
        <f>IF(O262="","",MIN(INT(ROUND(P262/O262,6)),INT(ROUND(Settings!$B$5/K262,6))))</f>
        <v/>
      </c>
      <c r="R262" s="8">
        <f>IF(O262="","",Q262*O262)</f>
        <v/>
      </c>
      <c r="S262" s="8">
        <f>IF(O262="","",IF($E262="LONG",K262+Settings!$B$6*O262,K262-Settings!$B$6*O262))</f>
        <v/>
      </c>
      <c r="T262" s="7" t="n"/>
      <c r="V262" s="8">
        <f>IF(OR($E262="",T262=""),"",IF($E262="LONG",(T262-L262)*Q262,(L262-T262)*Q262))</f>
        <v/>
      </c>
      <c r="W262" s="10">
        <f>IF(V262="","",V262/N262)</f>
        <v/>
      </c>
      <c r="X262" s="11">
        <f>IF(V262="","",V262/R262)</f>
        <v/>
      </c>
      <c r="Y262" s="8">
        <f>IF(OR($E262="",L262=""),"",IF($E262="LONG",L262-K262,K262-L262))</f>
        <v/>
      </c>
      <c r="AP262" s="7" t="n"/>
    </row>
    <row r="263">
      <c r="H263" s="7" t="n"/>
      <c r="I263" s="7" t="n"/>
      <c r="J263" s="8">
        <f>IF($E263="","",MAX(Settings!$B$7,ROUND(Settings!$B$8*IF($E263="LONG",H263,I263),2)))</f>
        <v/>
      </c>
      <c r="K263" s="8">
        <f>IF($E263="","",IF($E263="LONG",H263+J263,I263-J263))</f>
        <v/>
      </c>
      <c r="L263" s="7" t="n"/>
      <c r="M263" s="8">
        <f>IF($E263="","",IF($E263="LONG",K263-O263,K263+O263))</f>
        <v/>
      </c>
      <c r="N263" s="7" t="n"/>
      <c r="O263" s="8">
        <f>IF(OR($E263="",AP263=""),"",ROUNDUP(ROUND(MAX(IF($E263="LONG",K263-I263,H263-K263),Settings!$B$9*AP263),6),2))</f>
        <v/>
      </c>
      <c r="P263" s="8">
        <f>IF($E263="","",N263*Settings!$B$4)</f>
        <v/>
      </c>
      <c r="Q263" s="9">
        <f>IF(O263="","",MIN(INT(ROUND(P263/O263,6)),INT(ROUND(Settings!$B$5/K263,6))))</f>
        <v/>
      </c>
      <c r="R263" s="8">
        <f>IF(O263="","",Q263*O263)</f>
        <v/>
      </c>
      <c r="S263" s="8">
        <f>IF(O263="","",IF($E263="LONG",K263+Settings!$B$6*O263,K263-Settings!$B$6*O263))</f>
        <v/>
      </c>
      <c r="T263" s="7" t="n"/>
      <c r="V263" s="8">
        <f>IF(OR($E263="",T263=""),"",IF($E263="LONG",(T263-L263)*Q263,(L263-T263)*Q263))</f>
        <v/>
      </c>
      <c r="W263" s="10">
        <f>IF(V263="","",V263/N263)</f>
        <v/>
      </c>
      <c r="X263" s="11">
        <f>IF(V263="","",V263/R263)</f>
        <v/>
      </c>
      <c r="Y263" s="8">
        <f>IF(OR($E263="",L263=""),"",IF($E263="LONG",L263-K263,K263-L263))</f>
        <v/>
      </c>
      <c r="AP263" s="7" t="n"/>
    </row>
    <row r="264">
      <c r="H264" s="7" t="n"/>
      <c r="I264" s="7" t="n"/>
      <c r="J264" s="8">
        <f>IF($E264="","",MAX(Settings!$B$7,ROUND(Settings!$B$8*IF($E264="LONG",H264,I264),2)))</f>
        <v/>
      </c>
      <c r="K264" s="8">
        <f>IF($E264="","",IF($E264="LONG",H264+J264,I264-J264))</f>
        <v/>
      </c>
      <c r="L264" s="7" t="n"/>
      <c r="M264" s="8">
        <f>IF($E264="","",IF($E264="LONG",K264-O264,K264+O264))</f>
        <v/>
      </c>
      <c r="N264" s="7" t="n"/>
      <c r="O264" s="8">
        <f>IF(OR($E264="",AP264=""),"",ROUNDUP(ROUND(MAX(IF($E264="LONG",K264-I264,H264-K264),Settings!$B$9*AP264),6),2))</f>
        <v/>
      </c>
      <c r="P264" s="8">
        <f>IF($E264="","",N264*Settings!$B$4)</f>
        <v/>
      </c>
      <c r="Q264" s="9">
        <f>IF(O264="","",MIN(INT(ROUND(P264/O264,6)),INT(ROUND(Settings!$B$5/K264,6))))</f>
        <v/>
      </c>
      <c r="R264" s="8">
        <f>IF(O264="","",Q264*O264)</f>
        <v/>
      </c>
      <c r="S264" s="8">
        <f>IF(O264="","",IF($E264="LONG",K264+Settings!$B$6*O264,K264-Settings!$B$6*O264))</f>
        <v/>
      </c>
      <c r="T264" s="7" t="n"/>
      <c r="V264" s="8">
        <f>IF(OR($E264="",T264=""),"",IF($E264="LONG",(T264-L264)*Q264,(L264-T264)*Q264))</f>
        <v/>
      </c>
      <c r="W264" s="10">
        <f>IF(V264="","",V264/N264)</f>
        <v/>
      </c>
      <c r="X264" s="11">
        <f>IF(V264="","",V264/R264)</f>
        <v/>
      </c>
      <c r="Y264" s="8">
        <f>IF(OR($E264="",L264=""),"",IF($E264="LONG",L264-K264,K264-L264))</f>
        <v/>
      </c>
      <c r="AP264" s="7" t="n"/>
    </row>
    <row r="265">
      <c r="H265" s="7" t="n"/>
      <c r="I265" s="7" t="n"/>
      <c r="J265" s="8">
        <f>IF($E265="","",MAX(Settings!$B$7,ROUND(Settings!$B$8*IF($E265="LONG",H265,I265),2)))</f>
        <v/>
      </c>
      <c r="K265" s="8">
        <f>IF($E265="","",IF($E265="LONG",H265+J265,I265-J265))</f>
        <v/>
      </c>
      <c r="L265" s="7" t="n"/>
      <c r="M265" s="8">
        <f>IF($E265="","",IF($E265="LONG",K265-O265,K265+O265))</f>
        <v/>
      </c>
      <c r="N265" s="7" t="n"/>
      <c r="O265" s="8">
        <f>IF(OR($E265="",AP265=""),"",ROUNDUP(ROUND(MAX(IF($E265="LONG",K265-I265,H265-K265),Settings!$B$9*AP265),6),2))</f>
        <v/>
      </c>
      <c r="P265" s="8">
        <f>IF($E265="","",N265*Settings!$B$4)</f>
        <v/>
      </c>
      <c r="Q265" s="9">
        <f>IF(O265="","",MIN(INT(ROUND(P265/O265,6)),INT(ROUND(Settings!$B$5/K265,6))))</f>
        <v/>
      </c>
      <c r="R265" s="8">
        <f>IF(O265="","",Q265*O265)</f>
        <v/>
      </c>
      <c r="S265" s="8">
        <f>IF(O265="","",IF($E265="LONG",K265+Settings!$B$6*O265,K265-Settings!$B$6*O265))</f>
        <v/>
      </c>
      <c r="T265" s="7" t="n"/>
      <c r="V265" s="8">
        <f>IF(OR($E265="",T265=""),"",IF($E265="LONG",(T265-L265)*Q265,(L265-T265)*Q265))</f>
        <v/>
      </c>
      <c r="W265" s="10">
        <f>IF(V265="","",V265/N265)</f>
        <v/>
      </c>
      <c r="X265" s="11">
        <f>IF(V265="","",V265/R265)</f>
        <v/>
      </c>
      <c r="Y265" s="8">
        <f>IF(OR($E265="",L265=""),"",IF($E265="LONG",L265-K265,K265-L265))</f>
        <v/>
      </c>
      <c r="AP265" s="7" t="n"/>
    </row>
    <row r="266">
      <c r="H266" s="7" t="n"/>
      <c r="I266" s="7" t="n"/>
      <c r="J266" s="8">
        <f>IF($E266="","",MAX(Settings!$B$7,ROUND(Settings!$B$8*IF($E266="LONG",H266,I266),2)))</f>
        <v/>
      </c>
      <c r="K266" s="8">
        <f>IF($E266="","",IF($E266="LONG",H266+J266,I266-J266))</f>
        <v/>
      </c>
      <c r="L266" s="7" t="n"/>
      <c r="M266" s="8">
        <f>IF($E266="","",IF($E266="LONG",K266-O266,K266+O266))</f>
        <v/>
      </c>
      <c r="N266" s="7" t="n"/>
      <c r="O266" s="8">
        <f>IF(OR($E266="",AP266=""),"",ROUNDUP(ROUND(MAX(IF($E266="LONG",K266-I266,H266-K266),Settings!$B$9*AP266),6),2))</f>
        <v/>
      </c>
      <c r="P266" s="8">
        <f>IF($E266="","",N266*Settings!$B$4)</f>
        <v/>
      </c>
      <c r="Q266" s="9">
        <f>IF(O266="","",MIN(INT(ROUND(P266/O266,6)),INT(ROUND(Settings!$B$5/K266,6))))</f>
        <v/>
      </c>
      <c r="R266" s="8">
        <f>IF(O266="","",Q266*O266)</f>
        <v/>
      </c>
      <c r="S266" s="8">
        <f>IF(O266="","",IF($E266="LONG",K266+Settings!$B$6*O266,K266-Settings!$B$6*O266))</f>
        <v/>
      </c>
      <c r="T266" s="7" t="n"/>
      <c r="V266" s="8">
        <f>IF(OR($E266="",T266=""),"",IF($E266="LONG",(T266-L266)*Q266,(L266-T266)*Q266))</f>
        <v/>
      </c>
      <c r="W266" s="10">
        <f>IF(V266="","",V266/N266)</f>
        <v/>
      </c>
      <c r="X266" s="11">
        <f>IF(V266="","",V266/R266)</f>
        <v/>
      </c>
      <c r="Y266" s="8">
        <f>IF(OR($E266="",L266=""),"",IF($E266="LONG",L266-K266,K266-L266))</f>
        <v/>
      </c>
      <c r="AP266" s="7" t="n"/>
    </row>
    <row r="267">
      <c r="H267" s="7" t="n"/>
      <c r="I267" s="7" t="n"/>
      <c r="J267" s="8">
        <f>IF($E267="","",MAX(Settings!$B$7,ROUND(Settings!$B$8*IF($E267="LONG",H267,I267),2)))</f>
        <v/>
      </c>
      <c r="K267" s="8">
        <f>IF($E267="","",IF($E267="LONG",H267+J267,I267-J267))</f>
        <v/>
      </c>
      <c r="L267" s="7" t="n"/>
      <c r="M267" s="8">
        <f>IF($E267="","",IF($E267="LONG",K267-O267,K267+O267))</f>
        <v/>
      </c>
      <c r="N267" s="7" t="n"/>
      <c r="O267" s="8">
        <f>IF(OR($E267="",AP267=""),"",ROUNDUP(ROUND(MAX(IF($E267="LONG",K267-I267,H267-K267),Settings!$B$9*AP267),6),2))</f>
        <v/>
      </c>
      <c r="P267" s="8">
        <f>IF($E267="","",N267*Settings!$B$4)</f>
        <v/>
      </c>
      <c r="Q267" s="9">
        <f>IF(O267="","",MIN(INT(ROUND(P267/O267,6)),INT(ROUND(Settings!$B$5/K267,6))))</f>
        <v/>
      </c>
      <c r="R267" s="8">
        <f>IF(O267="","",Q267*O267)</f>
        <v/>
      </c>
      <c r="S267" s="8">
        <f>IF(O267="","",IF($E267="LONG",K267+Settings!$B$6*O267,K267-Settings!$B$6*O267))</f>
        <v/>
      </c>
      <c r="T267" s="7" t="n"/>
      <c r="V267" s="8">
        <f>IF(OR($E267="",T267=""),"",IF($E267="LONG",(T267-L267)*Q267,(L267-T267)*Q267))</f>
        <v/>
      </c>
      <c r="W267" s="10">
        <f>IF(V267="","",V267/N267)</f>
        <v/>
      </c>
      <c r="X267" s="11">
        <f>IF(V267="","",V267/R267)</f>
        <v/>
      </c>
      <c r="Y267" s="8">
        <f>IF(OR($E267="",L267=""),"",IF($E267="LONG",L267-K267,K267-L267))</f>
        <v/>
      </c>
      <c r="AP267" s="7" t="n"/>
    </row>
    <row r="268">
      <c r="H268" s="7" t="n"/>
      <c r="I268" s="7" t="n"/>
      <c r="J268" s="8">
        <f>IF($E268="","",MAX(Settings!$B$7,ROUND(Settings!$B$8*IF($E268="LONG",H268,I268),2)))</f>
        <v/>
      </c>
      <c r="K268" s="8">
        <f>IF($E268="","",IF($E268="LONG",H268+J268,I268-J268))</f>
        <v/>
      </c>
      <c r="L268" s="7" t="n"/>
      <c r="M268" s="8">
        <f>IF($E268="","",IF($E268="LONG",K268-O268,K268+O268))</f>
        <v/>
      </c>
      <c r="N268" s="7" t="n"/>
      <c r="O268" s="8">
        <f>IF(OR($E268="",AP268=""),"",ROUNDUP(ROUND(MAX(IF($E268="LONG",K268-I268,H268-K268),Settings!$B$9*AP268),6),2))</f>
        <v/>
      </c>
      <c r="P268" s="8">
        <f>IF($E268="","",N268*Settings!$B$4)</f>
        <v/>
      </c>
      <c r="Q268" s="9">
        <f>IF(O268="","",MIN(INT(ROUND(P268/O268,6)),INT(ROUND(Settings!$B$5/K268,6))))</f>
        <v/>
      </c>
      <c r="R268" s="8">
        <f>IF(O268="","",Q268*O268)</f>
        <v/>
      </c>
      <c r="S268" s="8">
        <f>IF(O268="","",IF($E268="LONG",K268+Settings!$B$6*O268,K268-Settings!$B$6*O268))</f>
        <v/>
      </c>
      <c r="T268" s="7" t="n"/>
      <c r="V268" s="8">
        <f>IF(OR($E268="",T268=""),"",IF($E268="LONG",(T268-L268)*Q268,(L268-T268)*Q268))</f>
        <v/>
      </c>
      <c r="W268" s="10">
        <f>IF(V268="","",V268/N268)</f>
        <v/>
      </c>
      <c r="X268" s="11">
        <f>IF(V268="","",V268/R268)</f>
        <v/>
      </c>
      <c r="Y268" s="8">
        <f>IF(OR($E268="",L268=""),"",IF($E268="LONG",L268-K268,K268-L268))</f>
        <v/>
      </c>
      <c r="AP268" s="7" t="n"/>
    </row>
    <row r="269">
      <c r="H269" s="7" t="n"/>
      <c r="I269" s="7" t="n"/>
      <c r="J269" s="8">
        <f>IF($E269="","",MAX(Settings!$B$7,ROUND(Settings!$B$8*IF($E269="LONG",H269,I269),2)))</f>
        <v/>
      </c>
      <c r="K269" s="8">
        <f>IF($E269="","",IF($E269="LONG",H269+J269,I269-J269))</f>
        <v/>
      </c>
      <c r="L269" s="7" t="n"/>
      <c r="M269" s="8">
        <f>IF($E269="","",IF($E269="LONG",K269-O269,K269+O269))</f>
        <v/>
      </c>
      <c r="N269" s="7" t="n"/>
      <c r="O269" s="8">
        <f>IF(OR($E269="",AP269=""),"",ROUNDUP(ROUND(MAX(IF($E269="LONG",K269-I269,H269-K269),Settings!$B$9*AP269),6),2))</f>
        <v/>
      </c>
      <c r="P269" s="8">
        <f>IF($E269="","",N269*Settings!$B$4)</f>
        <v/>
      </c>
      <c r="Q269" s="9">
        <f>IF(O269="","",MIN(INT(ROUND(P269/O269,6)),INT(ROUND(Settings!$B$5/K269,6))))</f>
        <v/>
      </c>
      <c r="R269" s="8">
        <f>IF(O269="","",Q269*O269)</f>
        <v/>
      </c>
      <c r="S269" s="8">
        <f>IF(O269="","",IF($E269="LONG",K269+Settings!$B$6*O269,K269-Settings!$B$6*O269))</f>
        <v/>
      </c>
      <c r="T269" s="7" t="n"/>
      <c r="V269" s="8">
        <f>IF(OR($E269="",T269=""),"",IF($E269="LONG",(T269-L269)*Q269,(L269-T269)*Q269))</f>
        <v/>
      </c>
      <c r="W269" s="10">
        <f>IF(V269="","",V269/N269)</f>
        <v/>
      </c>
      <c r="X269" s="11">
        <f>IF(V269="","",V269/R269)</f>
        <v/>
      </c>
      <c r="Y269" s="8">
        <f>IF(OR($E269="",L269=""),"",IF($E269="LONG",L269-K269,K269-L269))</f>
        <v/>
      </c>
      <c r="AP269" s="7" t="n"/>
    </row>
    <row r="270">
      <c r="H270" s="7" t="n"/>
      <c r="I270" s="7" t="n"/>
      <c r="J270" s="8">
        <f>IF($E270="","",MAX(Settings!$B$7,ROUND(Settings!$B$8*IF($E270="LONG",H270,I270),2)))</f>
        <v/>
      </c>
      <c r="K270" s="8">
        <f>IF($E270="","",IF($E270="LONG",H270+J270,I270-J270))</f>
        <v/>
      </c>
      <c r="L270" s="7" t="n"/>
      <c r="M270" s="8">
        <f>IF($E270="","",IF($E270="LONG",K270-O270,K270+O270))</f>
        <v/>
      </c>
      <c r="N270" s="7" t="n"/>
      <c r="O270" s="8">
        <f>IF(OR($E270="",AP270=""),"",ROUNDUP(ROUND(MAX(IF($E270="LONG",K270-I270,H270-K270),Settings!$B$9*AP270),6),2))</f>
        <v/>
      </c>
      <c r="P270" s="8">
        <f>IF($E270="","",N270*Settings!$B$4)</f>
        <v/>
      </c>
      <c r="Q270" s="9">
        <f>IF(O270="","",MIN(INT(ROUND(P270/O270,6)),INT(ROUND(Settings!$B$5/K270,6))))</f>
        <v/>
      </c>
      <c r="R270" s="8">
        <f>IF(O270="","",Q270*O270)</f>
        <v/>
      </c>
      <c r="S270" s="8">
        <f>IF(O270="","",IF($E270="LONG",K270+Settings!$B$6*O270,K270-Settings!$B$6*O270))</f>
        <v/>
      </c>
      <c r="T270" s="7" t="n"/>
      <c r="V270" s="8">
        <f>IF(OR($E270="",T270=""),"",IF($E270="LONG",(T270-L270)*Q270,(L270-T270)*Q270))</f>
        <v/>
      </c>
      <c r="W270" s="10">
        <f>IF(V270="","",V270/N270)</f>
        <v/>
      </c>
      <c r="X270" s="11">
        <f>IF(V270="","",V270/R270)</f>
        <v/>
      </c>
      <c r="Y270" s="8">
        <f>IF(OR($E270="",L270=""),"",IF($E270="LONG",L270-K270,K270-L270))</f>
        <v/>
      </c>
      <c r="AP270" s="7" t="n"/>
    </row>
    <row r="271">
      <c r="H271" s="7" t="n"/>
      <c r="I271" s="7" t="n"/>
      <c r="J271" s="8">
        <f>IF($E271="","",MAX(Settings!$B$7,ROUND(Settings!$B$8*IF($E271="LONG",H271,I271),2)))</f>
        <v/>
      </c>
      <c r="K271" s="8">
        <f>IF($E271="","",IF($E271="LONG",H271+J271,I271-J271))</f>
        <v/>
      </c>
      <c r="L271" s="7" t="n"/>
      <c r="M271" s="8">
        <f>IF($E271="","",IF($E271="LONG",K271-O271,K271+O271))</f>
        <v/>
      </c>
      <c r="N271" s="7" t="n"/>
      <c r="O271" s="8">
        <f>IF(OR($E271="",AP271=""),"",ROUNDUP(ROUND(MAX(IF($E271="LONG",K271-I271,H271-K271),Settings!$B$9*AP271),6),2))</f>
        <v/>
      </c>
      <c r="P271" s="8">
        <f>IF($E271="","",N271*Settings!$B$4)</f>
        <v/>
      </c>
      <c r="Q271" s="9">
        <f>IF(O271="","",MIN(INT(ROUND(P271/O271,6)),INT(ROUND(Settings!$B$5/K271,6))))</f>
        <v/>
      </c>
      <c r="R271" s="8">
        <f>IF(O271="","",Q271*O271)</f>
        <v/>
      </c>
      <c r="S271" s="8">
        <f>IF(O271="","",IF($E271="LONG",K271+Settings!$B$6*O271,K271-Settings!$B$6*O271))</f>
        <v/>
      </c>
      <c r="T271" s="7" t="n"/>
      <c r="V271" s="8">
        <f>IF(OR($E271="",T271=""),"",IF($E271="LONG",(T271-L271)*Q271,(L271-T271)*Q271))</f>
        <v/>
      </c>
      <c r="W271" s="10">
        <f>IF(V271="","",V271/N271)</f>
        <v/>
      </c>
      <c r="X271" s="11">
        <f>IF(V271="","",V271/R271)</f>
        <v/>
      </c>
      <c r="Y271" s="8">
        <f>IF(OR($E271="",L271=""),"",IF($E271="LONG",L271-K271,K271-L271))</f>
        <v/>
      </c>
      <c r="AP271" s="7" t="n"/>
    </row>
    <row r="272">
      <c r="H272" s="7" t="n"/>
      <c r="I272" s="7" t="n"/>
      <c r="J272" s="8">
        <f>IF($E272="","",MAX(Settings!$B$7,ROUND(Settings!$B$8*IF($E272="LONG",H272,I272),2)))</f>
        <v/>
      </c>
      <c r="K272" s="8">
        <f>IF($E272="","",IF($E272="LONG",H272+J272,I272-J272))</f>
        <v/>
      </c>
      <c r="L272" s="7" t="n"/>
      <c r="M272" s="8">
        <f>IF($E272="","",IF($E272="LONG",K272-O272,K272+O272))</f>
        <v/>
      </c>
      <c r="N272" s="7" t="n"/>
      <c r="O272" s="8">
        <f>IF(OR($E272="",AP272=""),"",ROUNDUP(ROUND(MAX(IF($E272="LONG",K272-I272,H272-K272),Settings!$B$9*AP272),6),2))</f>
        <v/>
      </c>
      <c r="P272" s="8">
        <f>IF($E272="","",N272*Settings!$B$4)</f>
        <v/>
      </c>
      <c r="Q272" s="9">
        <f>IF(O272="","",MIN(INT(ROUND(P272/O272,6)),INT(ROUND(Settings!$B$5/K272,6))))</f>
        <v/>
      </c>
      <c r="R272" s="8">
        <f>IF(O272="","",Q272*O272)</f>
        <v/>
      </c>
      <c r="S272" s="8">
        <f>IF(O272="","",IF($E272="LONG",K272+Settings!$B$6*O272,K272-Settings!$B$6*O272))</f>
        <v/>
      </c>
      <c r="T272" s="7" t="n"/>
      <c r="V272" s="8">
        <f>IF(OR($E272="",T272=""),"",IF($E272="LONG",(T272-L272)*Q272,(L272-T272)*Q272))</f>
        <v/>
      </c>
      <c r="W272" s="10">
        <f>IF(V272="","",V272/N272)</f>
        <v/>
      </c>
      <c r="X272" s="11">
        <f>IF(V272="","",V272/R272)</f>
        <v/>
      </c>
      <c r="Y272" s="8">
        <f>IF(OR($E272="",L272=""),"",IF($E272="LONG",L272-K272,K272-L272))</f>
        <v/>
      </c>
      <c r="AP272" s="7" t="n"/>
    </row>
    <row r="273">
      <c r="H273" s="7" t="n"/>
      <c r="I273" s="7" t="n"/>
      <c r="J273" s="8">
        <f>IF($E273="","",MAX(Settings!$B$7,ROUND(Settings!$B$8*IF($E273="LONG",H273,I273),2)))</f>
        <v/>
      </c>
      <c r="K273" s="8">
        <f>IF($E273="","",IF($E273="LONG",H273+J273,I273-J273))</f>
        <v/>
      </c>
      <c r="L273" s="7" t="n"/>
      <c r="M273" s="8">
        <f>IF($E273="","",IF($E273="LONG",K273-O273,K273+O273))</f>
        <v/>
      </c>
      <c r="N273" s="7" t="n"/>
      <c r="O273" s="8">
        <f>IF(OR($E273="",AP273=""),"",ROUNDUP(ROUND(MAX(IF($E273="LONG",K273-I273,H273-K273),Settings!$B$9*AP273),6),2))</f>
        <v/>
      </c>
      <c r="P273" s="8">
        <f>IF($E273="","",N273*Settings!$B$4)</f>
        <v/>
      </c>
      <c r="Q273" s="9">
        <f>IF(O273="","",MIN(INT(ROUND(P273/O273,6)),INT(ROUND(Settings!$B$5/K273,6))))</f>
        <v/>
      </c>
      <c r="R273" s="8">
        <f>IF(O273="","",Q273*O273)</f>
        <v/>
      </c>
      <c r="S273" s="8">
        <f>IF(O273="","",IF($E273="LONG",K273+Settings!$B$6*O273,K273-Settings!$B$6*O273))</f>
        <v/>
      </c>
      <c r="T273" s="7" t="n"/>
      <c r="V273" s="8">
        <f>IF(OR($E273="",T273=""),"",IF($E273="LONG",(T273-L273)*Q273,(L273-T273)*Q273))</f>
        <v/>
      </c>
      <c r="W273" s="10">
        <f>IF(V273="","",V273/N273)</f>
        <v/>
      </c>
      <c r="X273" s="11">
        <f>IF(V273="","",V273/R273)</f>
        <v/>
      </c>
      <c r="Y273" s="8">
        <f>IF(OR($E273="",L273=""),"",IF($E273="LONG",L273-K273,K273-L273))</f>
        <v/>
      </c>
      <c r="AP273" s="7" t="n"/>
    </row>
    <row r="274">
      <c r="H274" s="7" t="n"/>
      <c r="I274" s="7" t="n"/>
      <c r="J274" s="8">
        <f>IF($E274="","",MAX(Settings!$B$7,ROUND(Settings!$B$8*IF($E274="LONG",H274,I274),2)))</f>
        <v/>
      </c>
      <c r="K274" s="8">
        <f>IF($E274="","",IF($E274="LONG",H274+J274,I274-J274))</f>
        <v/>
      </c>
      <c r="L274" s="7" t="n"/>
      <c r="M274" s="8">
        <f>IF($E274="","",IF($E274="LONG",K274-O274,K274+O274))</f>
        <v/>
      </c>
      <c r="N274" s="7" t="n"/>
      <c r="O274" s="8">
        <f>IF(OR($E274="",AP274=""),"",ROUNDUP(ROUND(MAX(IF($E274="LONG",K274-I274,H274-K274),Settings!$B$9*AP274),6),2))</f>
        <v/>
      </c>
      <c r="P274" s="8">
        <f>IF($E274="","",N274*Settings!$B$4)</f>
        <v/>
      </c>
      <c r="Q274" s="9">
        <f>IF(O274="","",MIN(INT(ROUND(P274/O274,6)),INT(ROUND(Settings!$B$5/K274,6))))</f>
        <v/>
      </c>
      <c r="R274" s="8">
        <f>IF(O274="","",Q274*O274)</f>
        <v/>
      </c>
      <c r="S274" s="8">
        <f>IF(O274="","",IF($E274="LONG",K274+Settings!$B$6*O274,K274-Settings!$B$6*O274))</f>
        <v/>
      </c>
      <c r="T274" s="7" t="n"/>
      <c r="V274" s="8">
        <f>IF(OR($E274="",T274=""),"",IF($E274="LONG",(T274-L274)*Q274,(L274-T274)*Q274))</f>
        <v/>
      </c>
      <c r="W274" s="10">
        <f>IF(V274="","",V274/N274)</f>
        <v/>
      </c>
      <c r="X274" s="11">
        <f>IF(V274="","",V274/R274)</f>
        <v/>
      </c>
      <c r="Y274" s="8">
        <f>IF(OR($E274="",L274=""),"",IF($E274="LONG",L274-K274,K274-L274))</f>
        <v/>
      </c>
      <c r="AP274" s="7" t="n"/>
    </row>
    <row r="275">
      <c r="H275" s="7" t="n"/>
      <c r="I275" s="7" t="n"/>
      <c r="J275" s="8">
        <f>IF($E275="","",MAX(Settings!$B$7,ROUND(Settings!$B$8*IF($E275="LONG",H275,I275),2)))</f>
        <v/>
      </c>
      <c r="K275" s="8">
        <f>IF($E275="","",IF($E275="LONG",H275+J275,I275-J275))</f>
        <v/>
      </c>
      <c r="L275" s="7" t="n"/>
      <c r="M275" s="8">
        <f>IF($E275="","",IF($E275="LONG",K275-O275,K275+O275))</f>
        <v/>
      </c>
      <c r="N275" s="7" t="n"/>
      <c r="O275" s="8">
        <f>IF(OR($E275="",AP275=""),"",ROUNDUP(ROUND(MAX(IF($E275="LONG",K275-I275,H275-K275),Settings!$B$9*AP275),6),2))</f>
        <v/>
      </c>
      <c r="P275" s="8">
        <f>IF($E275="","",N275*Settings!$B$4)</f>
        <v/>
      </c>
      <c r="Q275" s="9">
        <f>IF(O275="","",MIN(INT(ROUND(P275/O275,6)),INT(ROUND(Settings!$B$5/K275,6))))</f>
        <v/>
      </c>
      <c r="R275" s="8">
        <f>IF(O275="","",Q275*O275)</f>
        <v/>
      </c>
      <c r="S275" s="8">
        <f>IF(O275="","",IF($E275="LONG",K275+Settings!$B$6*O275,K275-Settings!$B$6*O275))</f>
        <v/>
      </c>
      <c r="T275" s="7" t="n"/>
      <c r="V275" s="8">
        <f>IF(OR($E275="",T275=""),"",IF($E275="LONG",(T275-L275)*Q275,(L275-T275)*Q275))</f>
        <v/>
      </c>
      <c r="W275" s="10">
        <f>IF(V275="","",V275/N275)</f>
        <v/>
      </c>
      <c r="X275" s="11">
        <f>IF(V275="","",V275/R275)</f>
        <v/>
      </c>
      <c r="Y275" s="8">
        <f>IF(OR($E275="",L275=""),"",IF($E275="LONG",L275-K275,K275-L275))</f>
        <v/>
      </c>
      <c r="AP275" s="7" t="n"/>
    </row>
    <row r="276">
      <c r="H276" s="7" t="n"/>
      <c r="I276" s="7" t="n"/>
      <c r="J276" s="8">
        <f>IF($E276="","",MAX(Settings!$B$7,ROUND(Settings!$B$8*IF($E276="LONG",H276,I276),2)))</f>
        <v/>
      </c>
      <c r="K276" s="8">
        <f>IF($E276="","",IF($E276="LONG",H276+J276,I276-J276))</f>
        <v/>
      </c>
      <c r="L276" s="7" t="n"/>
      <c r="M276" s="8">
        <f>IF($E276="","",IF($E276="LONG",K276-O276,K276+O276))</f>
        <v/>
      </c>
      <c r="N276" s="7" t="n"/>
      <c r="O276" s="8">
        <f>IF(OR($E276="",AP276=""),"",ROUNDUP(ROUND(MAX(IF($E276="LONG",K276-I276,H276-K276),Settings!$B$9*AP276),6),2))</f>
        <v/>
      </c>
      <c r="P276" s="8">
        <f>IF($E276="","",N276*Settings!$B$4)</f>
        <v/>
      </c>
      <c r="Q276" s="9">
        <f>IF(O276="","",MIN(INT(ROUND(P276/O276,6)),INT(ROUND(Settings!$B$5/K276,6))))</f>
        <v/>
      </c>
      <c r="R276" s="8">
        <f>IF(O276="","",Q276*O276)</f>
        <v/>
      </c>
      <c r="S276" s="8">
        <f>IF(O276="","",IF($E276="LONG",K276+Settings!$B$6*O276,K276-Settings!$B$6*O276))</f>
        <v/>
      </c>
      <c r="T276" s="7" t="n"/>
      <c r="V276" s="8">
        <f>IF(OR($E276="",T276=""),"",IF($E276="LONG",(T276-L276)*Q276,(L276-T276)*Q276))</f>
        <v/>
      </c>
      <c r="W276" s="10">
        <f>IF(V276="","",V276/N276)</f>
        <v/>
      </c>
      <c r="X276" s="11">
        <f>IF(V276="","",V276/R276)</f>
        <v/>
      </c>
      <c r="Y276" s="8">
        <f>IF(OR($E276="",L276=""),"",IF($E276="LONG",L276-K276,K276-L276))</f>
        <v/>
      </c>
      <c r="AP276" s="7" t="n"/>
    </row>
    <row r="277">
      <c r="H277" s="7" t="n"/>
      <c r="I277" s="7" t="n"/>
      <c r="J277" s="8">
        <f>IF($E277="","",MAX(Settings!$B$7,ROUND(Settings!$B$8*IF($E277="LONG",H277,I277),2)))</f>
        <v/>
      </c>
      <c r="K277" s="8">
        <f>IF($E277="","",IF($E277="LONG",H277+J277,I277-J277))</f>
        <v/>
      </c>
      <c r="L277" s="7" t="n"/>
      <c r="M277" s="8">
        <f>IF($E277="","",IF($E277="LONG",K277-O277,K277+O277))</f>
        <v/>
      </c>
      <c r="N277" s="7" t="n"/>
      <c r="O277" s="8">
        <f>IF(OR($E277="",AP277=""),"",ROUNDUP(ROUND(MAX(IF($E277="LONG",K277-I277,H277-K277),Settings!$B$9*AP277),6),2))</f>
        <v/>
      </c>
      <c r="P277" s="8">
        <f>IF($E277="","",N277*Settings!$B$4)</f>
        <v/>
      </c>
      <c r="Q277" s="9">
        <f>IF(O277="","",MIN(INT(ROUND(P277/O277,6)),INT(ROUND(Settings!$B$5/K277,6))))</f>
        <v/>
      </c>
      <c r="R277" s="8">
        <f>IF(O277="","",Q277*O277)</f>
        <v/>
      </c>
      <c r="S277" s="8">
        <f>IF(O277="","",IF($E277="LONG",K277+Settings!$B$6*O277,K277-Settings!$B$6*O277))</f>
        <v/>
      </c>
      <c r="T277" s="7" t="n"/>
      <c r="V277" s="8">
        <f>IF(OR($E277="",T277=""),"",IF($E277="LONG",(T277-L277)*Q277,(L277-T277)*Q277))</f>
        <v/>
      </c>
      <c r="W277" s="10">
        <f>IF(V277="","",V277/N277)</f>
        <v/>
      </c>
      <c r="X277" s="11">
        <f>IF(V277="","",V277/R277)</f>
        <v/>
      </c>
      <c r="Y277" s="8">
        <f>IF(OR($E277="",L277=""),"",IF($E277="LONG",L277-K277,K277-L277))</f>
        <v/>
      </c>
      <c r="AP277" s="7" t="n"/>
    </row>
    <row r="278">
      <c r="H278" s="7" t="n"/>
      <c r="I278" s="7" t="n"/>
      <c r="J278" s="8">
        <f>IF($E278="","",MAX(Settings!$B$7,ROUND(Settings!$B$8*IF($E278="LONG",H278,I278),2)))</f>
        <v/>
      </c>
      <c r="K278" s="8">
        <f>IF($E278="","",IF($E278="LONG",H278+J278,I278-J278))</f>
        <v/>
      </c>
      <c r="L278" s="7" t="n"/>
      <c r="M278" s="8">
        <f>IF($E278="","",IF($E278="LONG",K278-O278,K278+O278))</f>
        <v/>
      </c>
      <c r="N278" s="7" t="n"/>
      <c r="O278" s="8">
        <f>IF(OR($E278="",AP278=""),"",ROUNDUP(ROUND(MAX(IF($E278="LONG",K278-I278,H278-K278),Settings!$B$9*AP278),6),2))</f>
        <v/>
      </c>
      <c r="P278" s="8">
        <f>IF($E278="","",N278*Settings!$B$4)</f>
        <v/>
      </c>
      <c r="Q278" s="9">
        <f>IF(O278="","",MIN(INT(ROUND(P278/O278,6)),INT(ROUND(Settings!$B$5/K278,6))))</f>
        <v/>
      </c>
      <c r="R278" s="8">
        <f>IF(O278="","",Q278*O278)</f>
        <v/>
      </c>
      <c r="S278" s="8">
        <f>IF(O278="","",IF($E278="LONG",K278+Settings!$B$6*O278,K278-Settings!$B$6*O278))</f>
        <v/>
      </c>
      <c r="T278" s="7" t="n"/>
      <c r="V278" s="8">
        <f>IF(OR($E278="",T278=""),"",IF($E278="LONG",(T278-L278)*Q278,(L278-T278)*Q278))</f>
        <v/>
      </c>
      <c r="W278" s="10">
        <f>IF(V278="","",V278/N278)</f>
        <v/>
      </c>
      <c r="X278" s="11">
        <f>IF(V278="","",V278/R278)</f>
        <v/>
      </c>
      <c r="Y278" s="8">
        <f>IF(OR($E278="",L278=""),"",IF($E278="LONG",L278-K278,K278-L278))</f>
        <v/>
      </c>
      <c r="AP278" s="7" t="n"/>
    </row>
    <row r="279">
      <c r="H279" s="7" t="n"/>
      <c r="I279" s="7" t="n"/>
      <c r="J279" s="8">
        <f>IF($E279="","",MAX(Settings!$B$7,ROUND(Settings!$B$8*IF($E279="LONG",H279,I279),2)))</f>
        <v/>
      </c>
      <c r="K279" s="8">
        <f>IF($E279="","",IF($E279="LONG",H279+J279,I279-J279))</f>
        <v/>
      </c>
      <c r="L279" s="7" t="n"/>
      <c r="M279" s="8">
        <f>IF($E279="","",IF($E279="LONG",K279-O279,K279+O279))</f>
        <v/>
      </c>
      <c r="N279" s="7" t="n"/>
      <c r="O279" s="8">
        <f>IF(OR($E279="",AP279=""),"",ROUNDUP(ROUND(MAX(IF($E279="LONG",K279-I279,H279-K279),Settings!$B$9*AP279),6),2))</f>
        <v/>
      </c>
      <c r="P279" s="8">
        <f>IF($E279="","",N279*Settings!$B$4)</f>
        <v/>
      </c>
      <c r="Q279" s="9">
        <f>IF(O279="","",MIN(INT(ROUND(P279/O279,6)),INT(ROUND(Settings!$B$5/K279,6))))</f>
        <v/>
      </c>
      <c r="R279" s="8">
        <f>IF(O279="","",Q279*O279)</f>
        <v/>
      </c>
      <c r="S279" s="8">
        <f>IF(O279="","",IF($E279="LONG",K279+Settings!$B$6*O279,K279-Settings!$B$6*O279))</f>
        <v/>
      </c>
      <c r="T279" s="7" t="n"/>
      <c r="V279" s="8">
        <f>IF(OR($E279="",T279=""),"",IF($E279="LONG",(T279-L279)*Q279,(L279-T279)*Q279))</f>
        <v/>
      </c>
      <c r="W279" s="10">
        <f>IF(V279="","",V279/N279)</f>
        <v/>
      </c>
      <c r="X279" s="11">
        <f>IF(V279="","",V279/R279)</f>
        <v/>
      </c>
      <c r="Y279" s="8">
        <f>IF(OR($E279="",L279=""),"",IF($E279="LONG",L279-K279,K279-L279))</f>
        <v/>
      </c>
      <c r="AP279" s="7" t="n"/>
    </row>
    <row r="280">
      <c r="H280" s="7" t="n"/>
      <c r="I280" s="7" t="n"/>
      <c r="J280" s="8">
        <f>IF($E280="","",MAX(Settings!$B$7,ROUND(Settings!$B$8*IF($E280="LONG",H280,I280),2)))</f>
        <v/>
      </c>
      <c r="K280" s="8">
        <f>IF($E280="","",IF($E280="LONG",H280+J280,I280-J280))</f>
        <v/>
      </c>
      <c r="L280" s="7" t="n"/>
      <c r="M280" s="8">
        <f>IF($E280="","",IF($E280="LONG",K280-O280,K280+O280))</f>
        <v/>
      </c>
      <c r="N280" s="7" t="n"/>
      <c r="O280" s="8">
        <f>IF(OR($E280="",AP280=""),"",ROUNDUP(ROUND(MAX(IF($E280="LONG",K280-I280,H280-K280),Settings!$B$9*AP280),6),2))</f>
        <v/>
      </c>
      <c r="P280" s="8">
        <f>IF($E280="","",N280*Settings!$B$4)</f>
        <v/>
      </c>
      <c r="Q280" s="9">
        <f>IF(O280="","",MIN(INT(ROUND(P280/O280,6)),INT(ROUND(Settings!$B$5/K280,6))))</f>
        <v/>
      </c>
      <c r="R280" s="8">
        <f>IF(O280="","",Q280*O280)</f>
        <v/>
      </c>
      <c r="S280" s="8">
        <f>IF(O280="","",IF($E280="LONG",K280+Settings!$B$6*O280,K280-Settings!$B$6*O280))</f>
        <v/>
      </c>
      <c r="T280" s="7" t="n"/>
      <c r="V280" s="8">
        <f>IF(OR($E280="",T280=""),"",IF($E280="LONG",(T280-L280)*Q280,(L280-T280)*Q280))</f>
        <v/>
      </c>
      <c r="W280" s="10">
        <f>IF(V280="","",V280/N280)</f>
        <v/>
      </c>
      <c r="X280" s="11">
        <f>IF(V280="","",V280/R280)</f>
        <v/>
      </c>
      <c r="Y280" s="8">
        <f>IF(OR($E280="",L280=""),"",IF($E280="LONG",L280-K280,K280-L280))</f>
        <v/>
      </c>
      <c r="AP280" s="7" t="n"/>
    </row>
    <row r="281">
      <c r="H281" s="7" t="n"/>
      <c r="I281" s="7" t="n"/>
      <c r="J281" s="8">
        <f>IF($E281="","",MAX(Settings!$B$7,ROUND(Settings!$B$8*IF($E281="LONG",H281,I281),2)))</f>
        <v/>
      </c>
      <c r="K281" s="8">
        <f>IF($E281="","",IF($E281="LONG",H281+J281,I281-J281))</f>
        <v/>
      </c>
      <c r="L281" s="7" t="n"/>
      <c r="M281" s="8">
        <f>IF($E281="","",IF($E281="LONG",K281-O281,K281+O281))</f>
        <v/>
      </c>
      <c r="N281" s="7" t="n"/>
      <c r="O281" s="8">
        <f>IF(OR($E281="",AP281=""),"",ROUNDUP(ROUND(MAX(IF($E281="LONG",K281-I281,H281-K281),Settings!$B$9*AP281),6),2))</f>
        <v/>
      </c>
      <c r="P281" s="8">
        <f>IF($E281="","",N281*Settings!$B$4)</f>
        <v/>
      </c>
      <c r="Q281" s="9">
        <f>IF(O281="","",MIN(INT(ROUND(P281/O281,6)),INT(ROUND(Settings!$B$5/K281,6))))</f>
        <v/>
      </c>
      <c r="R281" s="8">
        <f>IF(O281="","",Q281*O281)</f>
        <v/>
      </c>
      <c r="S281" s="8">
        <f>IF(O281="","",IF($E281="LONG",K281+Settings!$B$6*O281,K281-Settings!$B$6*O281))</f>
        <v/>
      </c>
      <c r="T281" s="7" t="n"/>
      <c r="V281" s="8">
        <f>IF(OR($E281="",T281=""),"",IF($E281="LONG",(T281-L281)*Q281,(L281-T281)*Q281))</f>
        <v/>
      </c>
      <c r="W281" s="10">
        <f>IF(V281="","",V281/N281)</f>
        <v/>
      </c>
      <c r="X281" s="11">
        <f>IF(V281="","",V281/R281)</f>
        <v/>
      </c>
      <c r="Y281" s="8">
        <f>IF(OR($E281="",L281=""),"",IF($E281="LONG",L281-K281,K281-L281))</f>
        <v/>
      </c>
      <c r="AP281" s="7" t="n"/>
    </row>
    <row r="282">
      <c r="H282" s="7" t="n"/>
      <c r="I282" s="7" t="n"/>
      <c r="J282" s="8">
        <f>IF($E282="","",MAX(Settings!$B$7,ROUND(Settings!$B$8*IF($E282="LONG",H282,I282),2)))</f>
        <v/>
      </c>
      <c r="K282" s="8">
        <f>IF($E282="","",IF($E282="LONG",H282+J282,I282-J282))</f>
        <v/>
      </c>
      <c r="L282" s="7" t="n"/>
      <c r="M282" s="8">
        <f>IF($E282="","",IF($E282="LONG",K282-O282,K282+O282))</f>
        <v/>
      </c>
      <c r="N282" s="7" t="n"/>
      <c r="O282" s="8">
        <f>IF(OR($E282="",AP282=""),"",ROUNDUP(ROUND(MAX(IF($E282="LONG",K282-I282,H282-K282),Settings!$B$9*AP282),6),2))</f>
        <v/>
      </c>
      <c r="P282" s="8">
        <f>IF($E282="","",N282*Settings!$B$4)</f>
        <v/>
      </c>
      <c r="Q282" s="9">
        <f>IF(O282="","",MIN(INT(ROUND(P282/O282,6)),INT(ROUND(Settings!$B$5/K282,6))))</f>
        <v/>
      </c>
      <c r="R282" s="8">
        <f>IF(O282="","",Q282*O282)</f>
        <v/>
      </c>
      <c r="S282" s="8">
        <f>IF(O282="","",IF($E282="LONG",K282+Settings!$B$6*O282,K282-Settings!$B$6*O282))</f>
        <v/>
      </c>
      <c r="T282" s="7" t="n"/>
      <c r="V282" s="8">
        <f>IF(OR($E282="",T282=""),"",IF($E282="LONG",(T282-L282)*Q282,(L282-T282)*Q282))</f>
        <v/>
      </c>
      <c r="W282" s="10">
        <f>IF(V282="","",V282/N282)</f>
        <v/>
      </c>
      <c r="X282" s="11">
        <f>IF(V282="","",V282/R282)</f>
        <v/>
      </c>
      <c r="Y282" s="8">
        <f>IF(OR($E282="",L282=""),"",IF($E282="LONG",L282-K282,K282-L282))</f>
        <v/>
      </c>
      <c r="AP282" s="7" t="n"/>
    </row>
    <row r="283">
      <c r="H283" s="7" t="n"/>
      <c r="I283" s="7" t="n"/>
      <c r="J283" s="8">
        <f>IF($E283="","",MAX(Settings!$B$7,ROUND(Settings!$B$8*IF($E283="LONG",H283,I283),2)))</f>
        <v/>
      </c>
      <c r="K283" s="8">
        <f>IF($E283="","",IF($E283="LONG",H283+J283,I283-J283))</f>
        <v/>
      </c>
      <c r="L283" s="7" t="n"/>
      <c r="M283" s="8">
        <f>IF($E283="","",IF($E283="LONG",K283-O283,K283+O283))</f>
        <v/>
      </c>
      <c r="N283" s="7" t="n"/>
      <c r="O283" s="8">
        <f>IF(OR($E283="",AP283=""),"",ROUNDUP(ROUND(MAX(IF($E283="LONG",K283-I283,H283-K283),Settings!$B$9*AP283),6),2))</f>
        <v/>
      </c>
      <c r="P283" s="8">
        <f>IF($E283="","",N283*Settings!$B$4)</f>
        <v/>
      </c>
      <c r="Q283" s="9">
        <f>IF(O283="","",MIN(INT(ROUND(P283/O283,6)),INT(ROUND(Settings!$B$5/K283,6))))</f>
        <v/>
      </c>
      <c r="R283" s="8">
        <f>IF(O283="","",Q283*O283)</f>
        <v/>
      </c>
      <c r="S283" s="8">
        <f>IF(O283="","",IF($E283="LONG",K283+Settings!$B$6*O283,K283-Settings!$B$6*O283))</f>
        <v/>
      </c>
      <c r="T283" s="7" t="n"/>
      <c r="V283" s="8">
        <f>IF(OR($E283="",T283=""),"",IF($E283="LONG",(T283-L283)*Q283,(L283-T283)*Q283))</f>
        <v/>
      </c>
      <c r="W283" s="10">
        <f>IF(V283="","",V283/N283)</f>
        <v/>
      </c>
      <c r="X283" s="11">
        <f>IF(V283="","",V283/R283)</f>
        <v/>
      </c>
      <c r="Y283" s="8">
        <f>IF(OR($E283="",L283=""),"",IF($E283="LONG",L283-K283,K283-L283))</f>
        <v/>
      </c>
      <c r="AP283" s="7" t="n"/>
    </row>
    <row r="284">
      <c r="H284" s="7" t="n"/>
      <c r="I284" s="7" t="n"/>
      <c r="J284" s="8">
        <f>IF($E284="","",MAX(Settings!$B$7,ROUND(Settings!$B$8*IF($E284="LONG",H284,I284),2)))</f>
        <v/>
      </c>
      <c r="K284" s="8">
        <f>IF($E284="","",IF($E284="LONG",H284+J284,I284-J284))</f>
        <v/>
      </c>
      <c r="L284" s="7" t="n"/>
      <c r="M284" s="8">
        <f>IF($E284="","",IF($E284="LONG",K284-O284,K284+O284))</f>
        <v/>
      </c>
      <c r="N284" s="7" t="n"/>
      <c r="O284" s="8">
        <f>IF(OR($E284="",AP284=""),"",ROUNDUP(ROUND(MAX(IF($E284="LONG",K284-I284,H284-K284),Settings!$B$9*AP284),6),2))</f>
        <v/>
      </c>
      <c r="P284" s="8">
        <f>IF($E284="","",N284*Settings!$B$4)</f>
        <v/>
      </c>
      <c r="Q284" s="9">
        <f>IF(O284="","",MIN(INT(ROUND(P284/O284,6)),INT(ROUND(Settings!$B$5/K284,6))))</f>
        <v/>
      </c>
      <c r="R284" s="8">
        <f>IF(O284="","",Q284*O284)</f>
        <v/>
      </c>
      <c r="S284" s="8">
        <f>IF(O284="","",IF($E284="LONG",K284+Settings!$B$6*O284,K284-Settings!$B$6*O284))</f>
        <v/>
      </c>
      <c r="T284" s="7" t="n"/>
      <c r="V284" s="8">
        <f>IF(OR($E284="",T284=""),"",IF($E284="LONG",(T284-L284)*Q284,(L284-T284)*Q284))</f>
        <v/>
      </c>
      <c r="W284" s="10">
        <f>IF(V284="","",V284/N284)</f>
        <v/>
      </c>
      <c r="X284" s="11">
        <f>IF(V284="","",V284/R284)</f>
        <v/>
      </c>
      <c r="Y284" s="8">
        <f>IF(OR($E284="",L284=""),"",IF($E284="LONG",L284-K284,K284-L284))</f>
        <v/>
      </c>
      <c r="AP284" s="7" t="n"/>
    </row>
    <row r="285">
      <c r="H285" s="7" t="n"/>
      <c r="I285" s="7" t="n"/>
      <c r="J285" s="8">
        <f>IF($E285="","",MAX(Settings!$B$7,ROUND(Settings!$B$8*IF($E285="LONG",H285,I285),2)))</f>
        <v/>
      </c>
      <c r="K285" s="8">
        <f>IF($E285="","",IF($E285="LONG",H285+J285,I285-J285))</f>
        <v/>
      </c>
      <c r="L285" s="7" t="n"/>
      <c r="M285" s="8">
        <f>IF($E285="","",IF($E285="LONG",K285-O285,K285+O285))</f>
        <v/>
      </c>
      <c r="N285" s="7" t="n"/>
      <c r="O285" s="8">
        <f>IF(OR($E285="",AP285=""),"",ROUNDUP(ROUND(MAX(IF($E285="LONG",K285-I285,H285-K285),Settings!$B$9*AP285),6),2))</f>
        <v/>
      </c>
      <c r="P285" s="8">
        <f>IF($E285="","",N285*Settings!$B$4)</f>
        <v/>
      </c>
      <c r="Q285" s="9">
        <f>IF(O285="","",MIN(INT(ROUND(P285/O285,6)),INT(ROUND(Settings!$B$5/K285,6))))</f>
        <v/>
      </c>
      <c r="R285" s="8">
        <f>IF(O285="","",Q285*O285)</f>
        <v/>
      </c>
      <c r="S285" s="8">
        <f>IF(O285="","",IF($E285="LONG",K285+Settings!$B$6*O285,K285-Settings!$B$6*O285))</f>
        <v/>
      </c>
      <c r="T285" s="7" t="n"/>
      <c r="V285" s="8">
        <f>IF(OR($E285="",T285=""),"",IF($E285="LONG",(T285-L285)*Q285,(L285-T285)*Q285))</f>
        <v/>
      </c>
      <c r="W285" s="10">
        <f>IF(V285="","",V285/N285)</f>
        <v/>
      </c>
      <c r="X285" s="11">
        <f>IF(V285="","",V285/R285)</f>
        <v/>
      </c>
      <c r="Y285" s="8">
        <f>IF(OR($E285="",L285=""),"",IF($E285="LONG",L285-K285,K285-L285))</f>
        <v/>
      </c>
      <c r="AP285" s="7" t="n"/>
    </row>
    <row r="286">
      <c r="H286" s="7" t="n"/>
      <c r="I286" s="7" t="n"/>
      <c r="J286" s="8">
        <f>IF($E286="","",MAX(Settings!$B$7,ROUND(Settings!$B$8*IF($E286="LONG",H286,I286),2)))</f>
        <v/>
      </c>
      <c r="K286" s="8">
        <f>IF($E286="","",IF($E286="LONG",H286+J286,I286-J286))</f>
        <v/>
      </c>
      <c r="L286" s="7" t="n"/>
      <c r="M286" s="8">
        <f>IF($E286="","",IF($E286="LONG",K286-O286,K286+O286))</f>
        <v/>
      </c>
      <c r="N286" s="7" t="n"/>
      <c r="O286" s="8">
        <f>IF(OR($E286="",AP286=""),"",ROUNDUP(ROUND(MAX(IF($E286="LONG",K286-I286,H286-K286),Settings!$B$9*AP286),6),2))</f>
        <v/>
      </c>
      <c r="P286" s="8">
        <f>IF($E286="","",N286*Settings!$B$4)</f>
        <v/>
      </c>
      <c r="Q286" s="9">
        <f>IF(O286="","",MIN(INT(ROUND(P286/O286,6)),INT(ROUND(Settings!$B$5/K286,6))))</f>
        <v/>
      </c>
      <c r="R286" s="8">
        <f>IF(O286="","",Q286*O286)</f>
        <v/>
      </c>
      <c r="S286" s="8">
        <f>IF(O286="","",IF($E286="LONG",K286+Settings!$B$6*O286,K286-Settings!$B$6*O286))</f>
        <v/>
      </c>
      <c r="T286" s="7" t="n"/>
      <c r="V286" s="8">
        <f>IF(OR($E286="",T286=""),"",IF($E286="LONG",(T286-L286)*Q286,(L286-T286)*Q286))</f>
        <v/>
      </c>
      <c r="W286" s="10">
        <f>IF(V286="","",V286/N286)</f>
        <v/>
      </c>
      <c r="X286" s="11">
        <f>IF(V286="","",V286/R286)</f>
        <v/>
      </c>
      <c r="Y286" s="8">
        <f>IF(OR($E286="",L286=""),"",IF($E286="LONG",L286-K286,K286-L286))</f>
        <v/>
      </c>
      <c r="AP286" s="7" t="n"/>
    </row>
    <row r="287">
      <c r="H287" s="7" t="n"/>
      <c r="I287" s="7" t="n"/>
      <c r="J287" s="8">
        <f>IF($E287="","",MAX(Settings!$B$7,ROUND(Settings!$B$8*IF($E287="LONG",H287,I287),2)))</f>
        <v/>
      </c>
      <c r="K287" s="8">
        <f>IF($E287="","",IF($E287="LONG",H287+J287,I287-J287))</f>
        <v/>
      </c>
      <c r="L287" s="7" t="n"/>
      <c r="M287" s="8">
        <f>IF($E287="","",IF($E287="LONG",K287-O287,K287+O287))</f>
        <v/>
      </c>
      <c r="N287" s="7" t="n"/>
      <c r="O287" s="8">
        <f>IF(OR($E287="",AP287=""),"",ROUNDUP(ROUND(MAX(IF($E287="LONG",K287-I287,H287-K287),Settings!$B$9*AP287),6),2))</f>
        <v/>
      </c>
      <c r="P287" s="8">
        <f>IF($E287="","",N287*Settings!$B$4)</f>
        <v/>
      </c>
      <c r="Q287" s="9">
        <f>IF(O287="","",MIN(INT(ROUND(P287/O287,6)),INT(ROUND(Settings!$B$5/K287,6))))</f>
        <v/>
      </c>
      <c r="R287" s="8">
        <f>IF(O287="","",Q287*O287)</f>
        <v/>
      </c>
      <c r="S287" s="8">
        <f>IF(O287="","",IF($E287="LONG",K287+Settings!$B$6*O287,K287-Settings!$B$6*O287))</f>
        <v/>
      </c>
      <c r="T287" s="7" t="n"/>
      <c r="V287" s="8">
        <f>IF(OR($E287="",T287=""),"",IF($E287="LONG",(T287-L287)*Q287,(L287-T287)*Q287))</f>
        <v/>
      </c>
      <c r="W287" s="10">
        <f>IF(V287="","",V287/N287)</f>
        <v/>
      </c>
      <c r="X287" s="11">
        <f>IF(V287="","",V287/R287)</f>
        <v/>
      </c>
      <c r="Y287" s="8">
        <f>IF(OR($E287="",L287=""),"",IF($E287="LONG",L287-K287,K287-L287))</f>
        <v/>
      </c>
      <c r="AP287" s="7" t="n"/>
    </row>
    <row r="288">
      <c r="H288" s="7" t="n"/>
      <c r="I288" s="7" t="n"/>
      <c r="J288" s="8">
        <f>IF($E288="","",MAX(Settings!$B$7,ROUND(Settings!$B$8*IF($E288="LONG",H288,I288),2)))</f>
        <v/>
      </c>
      <c r="K288" s="8">
        <f>IF($E288="","",IF($E288="LONG",H288+J288,I288-J288))</f>
        <v/>
      </c>
      <c r="L288" s="7" t="n"/>
      <c r="M288" s="8">
        <f>IF($E288="","",IF($E288="LONG",K288-O288,K288+O288))</f>
        <v/>
      </c>
      <c r="N288" s="7" t="n"/>
      <c r="O288" s="8">
        <f>IF(OR($E288="",AP288=""),"",ROUNDUP(ROUND(MAX(IF($E288="LONG",K288-I288,H288-K288),Settings!$B$9*AP288),6),2))</f>
        <v/>
      </c>
      <c r="P288" s="8">
        <f>IF($E288="","",N288*Settings!$B$4)</f>
        <v/>
      </c>
      <c r="Q288" s="9">
        <f>IF(O288="","",MIN(INT(ROUND(P288/O288,6)),INT(ROUND(Settings!$B$5/K288,6))))</f>
        <v/>
      </c>
      <c r="R288" s="8">
        <f>IF(O288="","",Q288*O288)</f>
        <v/>
      </c>
      <c r="S288" s="8">
        <f>IF(O288="","",IF($E288="LONG",K288+Settings!$B$6*O288,K288-Settings!$B$6*O288))</f>
        <v/>
      </c>
      <c r="T288" s="7" t="n"/>
      <c r="V288" s="8">
        <f>IF(OR($E288="",T288=""),"",IF($E288="LONG",(T288-L288)*Q288,(L288-T288)*Q288))</f>
        <v/>
      </c>
      <c r="W288" s="10">
        <f>IF(V288="","",V288/N288)</f>
        <v/>
      </c>
      <c r="X288" s="11">
        <f>IF(V288="","",V288/R288)</f>
        <v/>
      </c>
      <c r="Y288" s="8">
        <f>IF(OR($E288="",L288=""),"",IF($E288="LONG",L288-K288,K288-L288))</f>
        <v/>
      </c>
      <c r="AP288" s="7" t="n"/>
    </row>
    <row r="289">
      <c r="H289" s="7" t="n"/>
      <c r="I289" s="7" t="n"/>
      <c r="J289" s="8">
        <f>IF($E289="","",MAX(Settings!$B$7,ROUND(Settings!$B$8*IF($E289="LONG",H289,I289),2)))</f>
        <v/>
      </c>
      <c r="K289" s="8">
        <f>IF($E289="","",IF($E289="LONG",H289+J289,I289-J289))</f>
        <v/>
      </c>
      <c r="L289" s="7" t="n"/>
      <c r="M289" s="8">
        <f>IF($E289="","",IF($E289="LONG",K289-O289,K289+O289))</f>
        <v/>
      </c>
      <c r="N289" s="7" t="n"/>
      <c r="O289" s="8">
        <f>IF(OR($E289="",AP289=""),"",ROUNDUP(ROUND(MAX(IF($E289="LONG",K289-I289,H289-K289),Settings!$B$9*AP289),6),2))</f>
        <v/>
      </c>
      <c r="P289" s="8">
        <f>IF($E289="","",N289*Settings!$B$4)</f>
        <v/>
      </c>
      <c r="Q289" s="9">
        <f>IF(O289="","",MIN(INT(ROUND(P289/O289,6)),INT(ROUND(Settings!$B$5/K289,6))))</f>
        <v/>
      </c>
      <c r="R289" s="8">
        <f>IF(O289="","",Q289*O289)</f>
        <v/>
      </c>
      <c r="S289" s="8">
        <f>IF(O289="","",IF($E289="LONG",K289+Settings!$B$6*O289,K289-Settings!$B$6*O289))</f>
        <v/>
      </c>
      <c r="T289" s="7" t="n"/>
      <c r="V289" s="8">
        <f>IF(OR($E289="",T289=""),"",IF($E289="LONG",(T289-L289)*Q289,(L289-T289)*Q289))</f>
        <v/>
      </c>
      <c r="W289" s="10">
        <f>IF(V289="","",V289/N289)</f>
        <v/>
      </c>
      <c r="X289" s="11">
        <f>IF(V289="","",V289/R289)</f>
        <v/>
      </c>
      <c r="Y289" s="8">
        <f>IF(OR($E289="",L289=""),"",IF($E289="LONG",L289-K289,K289-L289))</f>
        <v/>
      </c>
      <c r="AP289" s="7" t="n"/>
    </row>
    <row r="290">
      <c r="H290" s="7" t="n"/>
      <c r="I290" s="7" t="n"/>
      <c r="J290" s="8">
        <f>IF($E290="","",MAX(Settings!$B$7,ROUND(Settings!$B$8*IF($E290="LONG",H290,I290),2)))</f>
        <v/>
      </c>
      <c r="K290" s="8">
        <f>IF($E290="","",IF($E290="LONG",H290+J290,I290-J290))</f>
        <v/>
      </c>
      <c r="L290" s="7" t="n"/>
      <c r="M290" s="8">
        <f>IF($E290="","",IF($E290="LONG",K290-O290,K290+O290))</f>
        <v/>
      </c>
      <c r="N290" s="7" t="n"/>
      <c r="O290" s="8">
        <f>IF(OR($E290="",AP290=""),"",ROUNDUP(ROUND(MAX(IF($E290="LONG",K290-I290,H290-K290),Settings!$B$9*AP290),6),2))</f>
        <v/>
      </c>
      <c r="P290" s="8">
        <f>IF($E290="","",N290*Settings!$B$4)</f>
        <v/>
      </c>
      <c r="Q290" s="9">
        <f>IF(O290="","",MIN(INT(ROUND(P290/O290,6)),INT(ROUND(Settings!$B$5/K290,6))))</f>
        <v/>
      </c>
      <c r="R290" s="8">
        <f>IF(O290="","",Q290*O290)</f>
        <v/>
      </c>
      <c r="S290" s="8">
        <f>IF(O290="","",IF($E290="LONG",K290+Settings!$B$6*O290,K290-Settings!$B$6*O290))</f>
        <v/>
      </c>
      <c r="T290" s="7" t="n"/>
      <c r="V290" s="8">
        <f>IF(OR($E290="",T290=""),"",IF($E290="LONG",(T290-L290)*Q290,(L290-T290)*Q290))</f>
        <v/>
      </c>
      <c r="W290" s="10">
        <f>IF(V290="","",V290/N290)</f>
        <v/>
      </c>
      <c r="X290" s="11">
        <f>IF(V290="","",V290/R290)</f>
        <v/>
      </c>
      <c r="Y290" s="8">
        <f>IF(OR($E290="",L290=""),"",IF($E290="LONG",L290-K290,K290-L290))</f>
        <v/>
      </c>
      <c r="AP290" s="7" t="n"/>
    </row>
    <row r="291">
      <c r="H291" s="7" t="n"/>
      <c r="I291" s="7" t="n"/>
      <c r="J291" s="8">
        <f>IF($E291="","",MAX(Settings!$B$7,ROUND(Settings!$B$8*IF($E291="LONG",H291,I291),2)))</f>
        <v/>
      </c>
      <c r="K291" s="8">
        <f>IF($E291="","",IF($E291="LONG",H291+J291,I291-J291))</f>
        <v/>
      </c>
      <c r="L291" s="7" t="n"/>
      <c r="M291" s="8">
        <f>IF($E291="","",IF($E291="LONG",K291-O291,K291+O291))</f>
        <v/>
      </c>
      <c r="N291" s="7" t="n"/>
      <c r="O291" s="8">
        <f>IF(OR($E291="",AP291=""),"",ROUNDUP(ROUND(MAX(IF($E291="LONG",K291-I291,H291-K291),Settings!$B$9*AP291),6),2))</f>
        <v/>
      </c>
      <c r="P291" s="8">
        <f>IF($E291="","",N291*Settings!$B$4)</f>
        <v/>
      </c>
      <c r="Q291" s="9">
        <f>IF(O291="","",MIN(INT(ROUND(P291/O291,6)),INT(ROUND(Settings!$B$5/K291,6))))</f>
        <v/>
      </c>
      <c r="R291" s="8">
        <f>IF(O291="","",Q291*O291)</f>
        <v/>
      </c>
      <c r="S291" s="8">
        <f>IF(O291="","",IF($E291="LONG",K291+Settings!$B$6*O291,K291-Settings!$B$6*O291))</f>
        <v/>
      </c>
      <c r="T291" s="7" t="n"/>
      <c r="V291" s="8">
        <f>IF(OR($E291="",T291=""),"",IF($E291="LONG",(T291-L291)*Q291,(L291-T291)*Q291))</f>
        <v/>
      </c>
      <c r="W291" s="10">
        <f>IF(V291="","",V291/N291)</f>
        <v/>
      </c>
      <c r="X291" s="11">
        <f>IF(V291="","",V291/R291)</f>
        <v/>
      </c>
      <c r="Y291" s="8">
        <f>IF(OR($E291="",L291=""),"",IF($E291="LONG",L291-K291,K291-L291))</f>
        <v/>
      </c>
      <c r="AP291" s="7" t="n"/>
    </row>
    <row r="292">
      <c r="H292" s="7" t="n"/>
      <c r="I292" s="7" t="n"/>
      <c r="J292" s="8">
        <f>IF($E292="","",MAX(Settings!$B$7,ROUND(Settings!$B$8*IF($E292="LONG",H292,I292),2)))</f>
        <v/>
      </c>
      <c r="K292" s="8">
        <f>IF($E292="","",IF($E292="LONG",H292+J292,I292-J292))</f>
        <v/>
      </c>
      <c r="L292" s="7" t="n"/>
      <c r="M292" s="8">
        <f>IF($E292="","",IF($E292="LONG",K292-O292,K292+O292))</f>
        <v/>
      </c>
      <c r="N292" s="7" t="n"/>
      <c r="O292" s="8">
        <f>IF(OR($E292="",AP292=""),"",ROUNDUP(ROUND(MAX(IF($E292="LONG",K292-I292,H292-K292),Settings!$B$9*AP292),6),2))</f>
        <v/>
      </c>
      <c r="P292" s="8">
        <f>IF($E292="","",N292*Settings!$B$4)</f>
        <v/>
      </c>
      <c r="Q292" s="9">
        <f>IF(O292="","",MIN(INT(ROUND(P292/O292,6)),INT(ROUND(Settings!$B$5/K292,6))))</f>
        <v/>
      </c>
      <c r="R292" s="8">
        <f>IF(O292="","",Q292*O292)</f>
        <v/>
      </c>
      <c r="S292" s="8">
        <f>IF(O292="","",IF($E292="LONG",K292+Settings!$B$6*O292,K292-Settings!$B$6*O292))</f>
        <v/>
      </c>
      <c r="T292" s="7" t="n"/>
      <c r="V292" s="8">
        <f>IF(OR($E292="",T292=""),"",IF($E292="LONG",(T292-L292)*Q292,(L292-T292)*Q292))</f>
        <v/>
      </c>
      <c r="W292" s="10">
        <f>IF(V292="","",V292/N292)</f>
        <v/>
      </c>
      <c r="X292" s="11">
        <f>IF(V292="","",V292/R292)</f>
        <v/>
      </c>
      <c r="Y292" s="8">
        <f>IF(OR($E292="",L292=""),"",IF($E292="LONG",L292-K292,K292-L292))</f>
        <v/>
      </c>
      <c r="AP292" s="7" t="n"/>
    </row>
    <row r="293">
      <c r="H293" s="7" t="n"/>
      <c r="I293" s="7" t="n"/>
      <c r="J293" s="8">
        <f>IF($E293="","",MAX(Settings!$B$7,ROUND(Settings!$B$8*IF($E293="LONG",H293,I293),2)))</f>
        <v/>
      </c>
      <c r="K293" s="8">
        <f>IF($E293="","",IF($E293="LONG",H293+J293,I293-J293))</f>
        <v/>
      </c>
      <c r="L293" s="7" t="n"/>
      <c r="M293" s="8">
        <f>IF($E293="","",IF($E293="LONG",K293-O293,K293+O293))</f>
        <v/>
      </c>
      <c r="N293" s="7" t="n"/>
      <c r="O293" s="8">
        <f>IF(OR($E293="",AP293=""),"",ROUNDUP(ROUND(MAX(IF($E293="LONG",K293-I293,H293-K293),Settings!$B$9*AP293),6),2))</f>
        <v/>
      </c>
      <c r="P293" s="8">
        <f>IF($E293="","",N293*Settings!$B$4)</f>
        <v/>
      </c>
      <c r="Q293" s="9">
        <f>IF(O293="","",MIN(INT(ROUND(P293/O293,6)),INT(ROUND(Settings!$B$5/K293,6))))</f>
        <v/>
      </c>
      <c r="R293" s="8">
        <f>IF(O293="","",Q293*O293)</f>
        <v/>
      </c>
      <c r="S293" s="8">
        <f>IF(O293="","",IF($E293="LONG",K293+Settings!$B$6*O293,K293-Settings!$B$6*O293))</f>
        <v/>
      </c>
      <c r="T293" s="7" t="n"/>
      <c r="V293" s="8">
        <f>IF(OR($E293="",T293=""),"",IF($E293="LONG",(T293-L293)*Q293,(L293-T293)*Q293))</f>
        <v/>
      </c>
      <c r="W293" s="10">
        <f>IF(V293="","",V293/N293)</f>
        <v/>
      </c>
      <c r="X293" s="11">
        <f>IF(V293="","",V293/R293)</f>
        <v/>
      </c>
      <c r="Y293" s="8">
        <f>IF(OR($E293="",L293=""),"",IF($E293="LONG",L293-K293,K293-L293))</f>
        <v/>
      </c>
      <c r="AP293" s="7" t="n"/>
    </row>
    <row r="294">
      <c r="H294" s="7" t="n"/>
      <c r="I294" s="7" t="n"/>
      <c r="J294" s="8">
        <f>IF($E294="","",MAX(Settings!$B$7,ROUND(Settings!$B$8*IF($E294="LONG",H294,I294),2)))</f>
        <v/>
      </c>
      <c r="K294" s="8">
        <f>IF($E294="","",IF($E294="LONG",H294+J294,I294-J294))</f>
        <v/>
      </c>
      <c r="L294" s="7" t="n"/>
      <c r="M294" s="8">
        <f>IF($E294="","",IF($E294="LONG",K294-O294,K294+O294))</f>
        <v/>
      </c>
      <c r="N294" s="7" t="n"/>
      <c r="O294" s="8">
        <f>IF(OR($E294="",AP294=""),"",ROUNDUP(ROUND(MAX(IF($E294="LONG",K294-I294,H294-K294),Settings!$B$9*AP294),6),2))</f>
        <v/>
      </c>
      <c r="P294" s="8">
        <f>IF($E294="","",N294*Settings!$B$4)</f>
        <v/>
      </c>
      <c r="Q294" s="9">
        <f>IF(O294="","",MIN(INT(ROUND(P294/O294,6)),INT(ROUND(Settings!$B$5/K294,6))))</f>
        <v/>
      </c>
      <c r="R294" s="8">
        <f>IF(O294="","",Q294*O294)</f>
        <v/>
      </c>
      <c r="S294" s="8">
        <f>IF(O294="","",IF($E294="LONG",K294+Settings!$B$6*O294,K294-Settings!$B$6*O294))</f>
        <v/>
      </c>
      <c r="T294" s="7" t="n"/>
      <c r="V294" s="8">
        <f>IF(OR($E294="",T294=""),"",IF($E294="LONG",(T294-L294)*Q294,(L294-T294)*Q294))</f>
        <v/>
      </c>
      <c r="W294" s="10">
        <f>IF(V294="","",V294/N294)</f>
        <v/>
      </c>
      <c r="X294" s="11">
        <f>IF(V294="","",V294/R294)</f>
        <v/>
      </c>
      <c r="Y294" s="8">
        <f>IF(OR($E294="",L294=""),"",IF($E294="LONG",L294-K294,K294-L294))</f>
        <v/>
      </c>
      <c r="AP294" s="7" t="n"/>
    </row>
    <row r="295">
      <c r="H295" s="7" t="n"/>
      <c r="I295" s="7" t="n"/>
      <c r="J295" s="8">
        <f>IF($E295="","",MAX(Settings!$B$7,ROUND(Settings!$B$8*IF($E295="LONG",H295,I295),2)))</f>
        <v/>
      </c>
      <c r="K295" s="8">
        <f>IF($E295="","",IF($E295="LONG",H295+J295,I295-J295))</f>
        <v/>
      </c>
      <c r="L295" s="7" t="n"/>
      <c r="M295" s="8">
        <f>IF($E295="","",IF($E295="LONG",K295-O295,K295+O295))</f>
        <v/>
      </c>
      <c r="N295" s="7" t="n"/>
      <c r="O295" s="8">
        <f>IF(OR($E295="",AP295=""),"",ROUNDUP(ROUND(MAX(IF($E295="LONG",K295-I295,H295-K295),Settings!$B$9*AP295),6),2))</f>
        <v/>
      </c>
      <c r="P295" s="8">
        <f>IF($E295="","",N295*Settings!$B$4)</f>
        <v/>
      </c>
      <c r="Q295" s="9">
        <f>IF(O295="","",MIN(INT(ROUND(P295/O295,6)),INT(ROUND(Settings!$B$5/K295,6))))</f>
        <v/>
      </c>
      <c r="R295" s="8">
        <f>IF(O295="","",Q295*O295)</f>
        <v/>
      </c>
      <c r="S295" s="8">
        <f>IF(O295="","",IF($E295="LONG",K295+Settings!$B$6*O295,K295-Settings!$B$6*O295))</f>
        <v/>
      </c>
      <c r="T295" s="7" t="n"/>
      <c r="V295" s="8">
        <f>IF(OR($E295="",T295=""),"",IF($E295="LONG",(T295-L295)*Q295,(L295-T295)*Q295))</f>
        <v/>
      </c>
      <c r="W295" s="10">
        <f>IF(V295="","",V295/N295)</f>
        <v/>
      </c>
      <c r="X295" s="11">
        <f>IF(V295="","",V295/R295)</f>
        <v/>
      </c>
      <c r="Y295" s="8">
        <f>IF(OR($E295="",L295=""),"",IF($E295="LONG",L295-K295,K295-L295))</f>
        <v/>
      </c>
      <c r="AP295" s="7" t="n"/>
    </row>
    <row r="296">
      <c r="H296" s="7" t="n"/>
      <c r="I296" s="7" t="n"/>
      <c r="J296" s="8">
        <f>IF($E296="","",MAX(Settings!$B$7,ROUND(Settings!$B$8*IF($E296="LONG",H296,I296),2)))</f>
        <v/>
      </c>
      <c r="K296" s="8">
        <f>IF($E296="","",IF($E296="LONG",H296+J296,I296-J296))</f>
        <v/>
      </c>
      <c r="L296" s="7" t="n"/>
      <c r="M296" s="8">
        <f>IF($E296="","",IF($E296="LONG",K296-O296,K296+O296))</f>
        <v/>
      </c>
      <c r="N296" s="7" t="n"/>
      <c r="O296" s="8">
        <f>IF(OR($E296="",AP296=""),"",ROUNDUP(ROUND(MAX(IF($E296="LONG",K296-I296,H296-K296),Settings!$B$9*AP296),6),2))</f>
        <v/>
      </c>
      <c r="P296" s="8">
        <f>IF($E296="","",N296*Settings!$B$4)</f>
        <v/>
      </c>
      <c r="Q296" s="9">
        <f>IF(O296="","",MIN(INT(ROUND(P296/O296,6)),INT(ROUND(Settings!$B$5/K296,6))))</f>
        <v/>
      </c>
      <c r="R296" s="8">
        <f>IF(O296="","",Q296*O296)</f>
        <v/>
      </c>
      <c r="S296" s="8">
        <f>IF(O296="","",IF($E296="LONG",K296+Settings!$B$6*O296,K296-Settings!$B$6*O296))</f>
        <v/>
      </c>
      <c r="T296" s="7" t="n"/>
      <c r="V296" s="8">
        <f>IF(OR($E296="",T296=""),"",IF($E296="LONG",(T296-L296)*Q296,(L296-T296)*Q296))</f>
        <v/>
      </c>
      <c r="W296" s="10">
        <f>IF(V296="","",V296/N296)</f>
        <v/>
      </c>
      <c r="X296" s="11">
        <f>IF(V296="","",V296/R296)</f>
        <v/>
      </c>
      <c r="Y296" s="8">
        <f>IF(OR($E296="",L296=""),"",IF($E296="LONG",L296-K296,K296-L296))</f>
        <v/>
      </c>
      <c r="AP296" s="7" t="n"/>
    </row>
    <row r="297">
      <c r="H297" s="7" t="n"/>
      <c r="I297" s="7" t="n"/>
      <c r="J297" s="8">
        <f>IF($E297="","",MAX(Settings!$B$7,ROUND(Settings!$B$8*IF($E297="LONG",H297,I297),2)))</f>
        <v/>
      </c>
      <c r="K297" s="8">
        <f>IF($E297="","",IF($E297="LONG",H297+J297,I297-J297))</f>
        <v/>
      </c>
      <c r="L297" s="7" t="n"/>
      <c r="M297" s="8">
        <f>IF($E297="","",IF($E297="LONG",K297-O297,K297+O297))</f>
        <v/>
      </c>
      <c r="N297" s="7" t="n"/>
      <c r="O297" s="8">
        <f>IF(OR($E297="",AP297=""),"",ROUNDUP(ROUND(MAX(IF($E297="LONG",K297-I297,H297-K297),Settings!$B$9*AP297),6),2))</f>
        <v/>
      </c>
      <c r="P297" s="8">
        <f>IF($E297="","",N297*Settings!$B$4)</f>
        <v/>
      </c>
      <c r="Q297" s="9">
        <f>IF(O297="","",MIN(INT(ROUND(P297/O297,6)),INT(ROUND(Settings!$B$5/K297,6))))</f>
        <v/>
      </c>
      <c r="R297" s="8">
        <f>IF(O297="","",Q297*O297)</f>
        <v/>
      </c>
      <c r="S297" s="8">
        <f>IF(O297="","",IF($E297="LONG",K297+Settings!$B$6*O297,K297-Settings!$B$6*O297))</f>
        <v/>
      </c>
      <c r="T297" s="7" t="n"/>
      <c r="V297" s="8">
        <f>IF(OR($E297="",T297=""),"",IF($E297="LONG",(T297-L297)*Q297,(L297-T297)*Q297))</f>
        <v/>
      </c>
      <c r="W297" s="10">
        <f>IF(V297="","",V297/N297)</f>
        <v/>
      </c>
      <c r="X297" s="11">
        <f>IF(V297="","",V297/R297)</f>
        <v/>
      </c>
      <c r="Y297" s="8">
        <f>IF(OR($E297="",L297=""),"",IF($E297="LONG",L297-K297,K297-L297))</f>
        <v/>
      </c>
      <c r="AP297" s="7" t="n"/>
    </row>
    <row r="298">
      <c r="H298" s="7" t="n"/>
      <c r="I298" s="7" t="n"/>
      <c r="J298" s="8">
        <f>IF($E298="","",MAX(Settings!$B$7,ROUND(Settings!$B$8*IF($E298="LONG",H298,I298),2)))</f>
        <v/>
      </c>
      <c r="K298" s="8">
        <f>IF($E298="","",IF($E298="LONG",H298+J298,I298-J298))</f>
        <v/>
      </c>
      <c r="L298" s="7" t="n"/>
      <c r="M298" s="8">
        <f>IF($E298="","",IF($E298="LONG",K298-O298,K298+O298))</f>
        <v/>
      </c>
      <c r="N298" s="7" t="n"/>
      <c r="O298" s="8">
        <f>IF(OR($E298="",AP298=""),"",ROUNDUP(ROUND(MAX(IF($E298="LONG",K298-I298,H298-K298),Settings!$B$9*AP298),6),2))</f>
        <v/>
      </c>
      <c r="P298" s="8">
        <f>IF($E298="","",N298*Settings!$B$4)</f>
        <v/>
      </c>
      <c r="Q298" s="9">
        <f>IF(O298="","",MIN(INT(ROUND(P298/O298,6)),INT(ROUND(Settings!$B$5/K298,6))))</f>
        <v/>
      </c>
      <c r="R298" s="8">
        <f>IF(O298="","",Q298*O298)</f>
        <v/>
      </c>
      <c r="S298" s="8">
        <f>IF(O298="","",IF($E298="LONG",K298+Settings!$B$6*O298,K298-Settings!$B$6*O298))</f>
        <v/>
      </c>
      <c r="T298" s="7" t="n"/>
      <c r="V298" s="8">
        <f>IF(OR($E298="",T298=""),"",IF($E298="LONG",(T298-L298)*Q298,(L298-T298)*Q298))</f>
        <v/>
      </c>
      <c r="W298" s="10">
        <f>IF(V298="","",V298/N298)</f>
        <v/>
      </c>
      <c r="X298" s="11">
        <f>IF(V298="","",V298/R298)</f>
        <v/>
      </c>
      <c r="Y298" s="8">
        <f>IF(OR($E298="",L298=""),"",IF($E298="LONG",L298-K298,K298-L298))</f>
        <v/>
      </c>
      <c r="AP298" s="7" t="n"/>
    </row>
    <row r="299">
      <c r="H299" s="7" t="n"/>
      <c r="I299" s="7" t="n"/>
      <c r="J299" s="8">
        <f>IF($E299="","",MAX(Settings!$B$7,ROUND(Settings!$B$8*IF($E299="LONG",H299,I299),2)))</f>
        <v/>
      </c>
      <c r="K299" s="8">
        <f>IF($E299="","",IF($E299="LONG",H299+J299,I299-J299))</f>
        <v/>
      </c>
      <c r="L299" s="7" t="n"/>
      <c r="M299" s="8">
        <f>IF($E299="","",IF($E299="LONG",K299-O299,K299+O299))</f>
        <v/>
      </c>
      <c r="N299" s="7" t="n"/>
      <c r="O299" s="8">
        <f>IF(OR($E299="",AP299=""),"",ROUNDUP(ROUND(MAX(IF($E299="LONG",K299-I299,H299-K299),Settings!$B$9*AP299),6),2))</f>
        <v/>
      </c>
      <c r="P299" s="8">
        <f>IF($E299="","",N299*Settings!$B$4)</f>
        <v/>
      </c>
      <c r="Q299" s="9">
        <f>IF(O299="","",MIN(INT(ROUND(P299/O299,6)),INT(ROUND(Settings!$B$5/K299,6))))</f>
        <v/>
      </c>
      <c r="R299" s="8">
        <f>IF(O299="","",Q299*O299)</f>
        <v/>
      </c>
      <c r="S299" s="8">
        <f>IF(O299="","",IF($E299="LONG",K299+Settings!$B$6*O299,K299-Settings!$B$6*O299))</f>
        <v/>
      </c>
      <c r="T299" s="7" t="n"/>
      <c r="V299" s="8">
        <f>IF(OR($E299="",T299=""),"",IF($E299="LONG",(T299-L299)*Q299,(L299-T299)*Q299))</f>
        <v/>
      </c>
      <c r="W299" s="10">
        <f>IF(V299="","",V299/N299)</f>
        <v/>
      </c>
      <c r="X299" s="11">
        <f>IF(V299="","",V299/R299)</f>
        <v/>
      </c>
      <c r="Y299" s="8">
        <f>IF(OR($E299="",L299=""),"",IF($E299="LONG",L299-K299,K299-L299))</f>
        <v/>
      </c>
      <c r="AP299" s="7" t="n"/>
    </row>
    <row r="300">
      <c r="H300" s="7" t="n"/>
      <c r="I300" s="7" t="n"/>
      <c r="J300" s="8">
        <f>IF($E300="","",MAX(Settings!$B$7,ROUND(Settings!$B$8*IF($E300="LONG",H300,I300),2)))</f>
        <v/>
      </c>
      <c r="K300" s="8">
        <f>IF($E300="","",IF($E300="LONG",H300+J300,I300-J300))</f>
        <v/>
      </c>
      <c r="L300" s="7" t="n"/>
      <c r="M300" s="8">
        <f>IF($E300="","",IF($E300="LONG",K300-O300,K300+O300))</f>
        <v/>
      </c>
      <c r="N300" s="7" t="n"/>
      <c r="O300" s="8">
        <f>IF(OR($E300="",AP300=""),"",ROUNDUP(ROUND(MAX(IF($E300="LONG",K300-I300,H300-K300),Settings!$B$9*AP300),6),2))</f>
        <v/>
      </c>
      <c r="P300" s="8">
        <f>IF($E300="","",N300*Settings!$B$4)</f>
        <v/>
      </c>
      <c r="Q300" s="9">
        <f>IF(O300="","",MIN(INT(ROUND(P300/O300,6)),INT(ROUND(Settings!$B$5/K300,6))))</f>
        <v/>
      </c>
      <c r="R300" s="8">
        <f>IF(O300="","",Q300*O300)</f>
        <v/>
      </c>
      <c r="S300" s="8">
        <f>IF(O300="","",IF($E300="LONG",K300+Settings!$B$6*O300,K300-Settings!$B$6*O300))</f>
        <v/>
      </c>
      <c r="T300" s="7" t="n"/>
      <c r="V300" s="8">
        <f>IF(OR($E300="",T300=""),"",IF($E300="LONG",(T300-L300)*Q300,(L300-T300)*Q300))</f>
        <v/>
      </c>
      <c r="W300" s="10">
        <f>IF(V300="","",V300/N300)</f>
        <v/>
      </c>
      <c r="X300" s="11">
        <f>IF(V300="","",V300/R300)</f>
        <v/>
      </c>
      <c r="Y300" s="8">
        <f>IF(OR($E300="",L300=""),"",IF($E300="LONG",L300-K300,K300-L300))</f>
        <v/>
      </c>
      <c r="AP300" s="7" t="n"/>
    </row>
    <row r="301">
      <c r="H301" s="7" t="n"/>
      <c r="I301" s="7" t="n"/>
      <c r="J301" s="8">
        <f>IF($E301="","",MAX(Settings!$B$7,ROUND(Settings!$B$8*IF($E301="LONG",H301,I301),2)))</f>
        <v/>
      </c>
      <c r="K301" s="8">
        <f>IF($E301="","",IF($E301="LONG",H301+J301,I301-J301))</f>
        <v/>
      </c>
      <c r="L301" s="7" t="n"/>
      <c r="M301" s="8">
        <f>IF($E301="","",IF($E301="LONG",K301-O301,K301+O301))</f>
        <v/>
      </c>
      <c r="N301" s="7" t="n"/>
      <c r="O301" s="8">
        <f>IF(OR($E301="",AP301=""),"",ROUNDUP(ROUND(MAX(IF($E301="LONG",K301-I301,H301-K301),Settings!$B$9*AP301),6),2))</f>
        <v/>
      </c>
      <c r="P301" s="8">
        <f>IF($E301="","",N301*Settings!$B$4)</f>
        <v/>
      </c>
      <c r="Q301" s="9">
        <f>IF(O301="","",MIN(INT(ROUND(P301/O301,6)),INT(ROUND(Settings!$B$5/K301,6))))</f>
        <v/>
      </c>
      <c r="R301" s="8">
        <f>IF(O301="","",Q301*O301)</f>
        <v/>
      </c>
      <c r="S301" s="8">
        <f>IF(O301="","",IF($E301="LONG",K301+Settings!$B$6*O301,K301-Settings!$B$6*O301))</f>
        <v/>
      </c>
      <c r="T301" s="7" t="n"/>
      <c r="V301" s="8">
        <f>IF(OR($E301="",T301=""),"",IF($E301="LONG",(T301-L301)*Q301,(L301-T301)*Q301))</f>
        <v/>
      </c>
      <c r="W301" s="10">
        <f>IF(V301="","",V301/N301)</f>
        <v/>
      </c>
      <c r="X301" s="11">
        <f>IF(V301="","",V301/R301)</f>
        <v/>
      </c>
      <c r="Y301" s="8">
        <f>IF(OR($E301="",L301=""),"",IF($E301="LONG",L301-K301,K301-L301))</f>
        <v/>
      </c>
      <c r="AP301" s="7" t="n"/>
    </row>
    <row r="302">
      <c r="H302" s="7" t="n"/>
      <c r="I302" s="7" t="n"/>
      <c r="J302" s="8">
        <f>IF($E302="","",MAX(Settings!$B$7,ROUND(Settings!$B$8*IF($E302="LONG",H302,I302),2)))</f>
        <v/>
      </c>
      <c r="K302" s="8">
        <f>IF($E302="","",IF($E302="LONG",H302+J302,I302-J302))</f>
        <v/>
      </c>
      <c r="L302" s="7" t="n"/>
      <c r="M302" s="8">
        <f>IF($E302="","",IF($E302="LONG",K302-O302,K302+O302))</f>
        <v/>
      </c>
      <c r="N302" s="7" t="n"/>
      <c r="O302" s="8">
        <f>IF(OR($E302="",AP302=""),"",ROUNDUP(ROUND(MAX(IF($E302="LONG",K302-I302,H302-K302),Settings!$B$9*AP302),6),2))</f>
        <v/>
      </c>
      <c r="P302" s="8">
        <f>IF($E302="","",N302*Settings!$B$4)</f>
        <v/>
      </c>
      <c r="Q302" s="9">
        <f>IF(O302="","",MIN(INT(ROUND(P302/O302,6)),INT(ROUND(Settings!$B$5/K302,6))))</f>
        <v/>
      </c>
      <c r="R302" s="8">
        <f>IF(O302="","",Q302*O302)</f>
        <v/>
      </c>
      <c r="S302" s="8">
        <f>IF(O302="","",IF($E302="LONG",K302+Settings!$B$6*O302,K302-Settings!$B$6*O302))</f>
        <v/>
      </c>
      <c r="T302" s="7" t="n"/>
      <c r="V302" s="8">
        <f>IF(OR($E302="",T302=""),"",IF($E302="LONG",(T302-L302)*Q302,(L302-T302)*Q302))</f>
        <v/>
      </c>
      <c r="W302" s="10">
        <f>IF(V302="","",V302/N302)</f>
        <v/>
      </c>
      <c r="X302" s="11">
        <f>IF(V302="","",V302/R302)</f>
        <v/>
      </c>
      <c r="Y302" s="8">
        <f>IF(OR($E302="",L302=""),"",IF($E302="LONG",L302-K302,K302-L302))</f>
        <v/>
      </c>
      <c r="AP302" s="7" t="n"/>
    </row>
    <row r="303">
      <c r="H303" s="7" t="n"/>
      <c r="I303" s="7" t="n"/>
      <c r="J303" s="8">
        <f>IF($E303="","",MAX(Settings!$B$7,ROUND(Settings!$B$8*IF($E303="LONG",H303,I303),2)))</f>
        <v/>
      </c>
      <c r="K303" s="8">
        <f>IF($E303="","",IF($E303="LONG",H303+J303,I303-J303))</f>
        <v/>
      </c>
      <c r="L303" s="7" t="n"/>
      <c r="M303" s="8">
        <f>IF($E303="","",IF($E303="LONG",K303-O303,K303+O303))</f>
        <v/>
      </c>
      <c r="N303" s="7" t="n"/>
      <c r="O303" s="8">
        <f>IF(OR($E303="",AP303=""),"",ROUNDUP(ROUND(MAX(IF($E303="LONG",K303-I303,H303-K303),Settings!$B$9*AP303),6),2))</f>
        <v/>
      </c>
      <c r="P303" s="8">
        <f>IF($E303="","",N303*Settings!$B$4)</f>
        <v/>
      </c>
      <c r="Q303" s="9">
        <f>IF(O303="","",MIN(INT(ROUND(P303/O303,6)),INT(ROUND(Settings!$B$5/K303,6))))</f>
        <v/>
      </c>
      <c r="R303" s="8">
        <f>IF(O303="","",Q303*O303)</f>
        <v/>
      </c>
      <c r="S303" s="8">
        <f>IF(O303="","",IF($E303="LONG",K303+Settings!$B$6*O303,K303-Settings!$B$6*O303))</f>
        <v/>
      </c>
      <c r="T303" s="7" t="n"/>
      <c r="V303" s="8">
        <f>IF(OR($E303="",T303=""),"",IF($E303="LONG",(T303-L303)*Q303,(L303-T303)*Q303))</f>
        <v/>
      </c>
      <c r="W303" s="10">
        <f>IF(V303="","",V303/N303)</f>
        <v/>
      </c>
      <c r="X303" s="11">
        <f>IF(V303="","",V303/R303)</f>
        <v/>
      </c>
      <c r="Y303" s="8">
        <f>IF(OR($E303="",L303=""),"",IF($E303="LONG",L303-K303,K303-L303))</f>
        <v/>
      </c>
      <c r="AP303" s="7" t="n"/>
    </row>
    <row r="304">
      <c r="H304" s="7" t="n"/>
      <c r="I304" s="7" t="n"/>
      <c r="J304" s="8">
        <f>IF($E304="","",MAX(Settings!$B$7,ROUND(Settings!$B$8*IF($E304="LONG",H304,I304),2)))</f>
        <v/>
      </c>
      <c r="K304" s="8">
        <f>IF($E304="","",IF($E304="LONG",H304+J304,I304-J304))</f>
        <v/>
      </c>
      <c r="L304" s="7" t="n"/>
      <c r="M304" s="8">
        <f>IF($E304="","",IF($E304="LONG",K304-O304,K304+O304))</f>
        <v/>
      </c>
      <c r="N304" s="7" t="n"/>
      <c r="O304" s="8">
        <f>IF(OR($E304="",AP304=""),"",ROUNDUP(ROUND(MAX(IF($E304="LONG",K304-I304,H304-K304),Settings!$B$9*AP304),6),2))</f>
        <v/>
      </c>
      <c r="P304" s="8">
        <f>IF($E304="","",N304*Settings!$B$4)</f>
        <v/>
      </c>
      <c r="Q304" s="9">
        <f>IF(O304="","",MIN(INT(ROUND(P304/O304,6)),INT(ROUND(Settings!$B$5/K304,6))))</f>
        <v/>
      </c>
      <c r="R304" s="8">
        <f>IF(O304="","",Q304*O304)</f>
        <v/>
      </c>
      <c r="S304" s="8">
        <f>IF(O304="","",IF($E304="LONG",K304+Settings!$B$6*O304,K304-Settings!$B$6*O304))</f>
        <v/>
      </c>
      <c r="T304" s="7" t="n"/>
      <c r="V304" s="8">
        <f>IF(OR($E304="",T304=""),"",IF($E304="LONG",(T304-L304)*Q304,(L304-T304)*Q304))</f>
        <v/>
      </c>
      <c r="W304" s="10">
        <f>IF(V304="","",V304/N304)</f>
        <v/>
      </c>
      <c r="X304" s="11">
        <f>IF(V304="","",V304/R304)</f>
        <v/>
      </c>
      <c r="Y304" s="8">
        <f>IF(OR($E304="",L304=""),"",IF($E304="LONG",L304-K304,K304-L304))</f>
        <v/>
      </c>
      <c r="AP304" s="7" t="n"/>
    </row>
    <row r="305">
      <c r="H305" s="7" t="n"/>
      <c r="I305" s="7" t="n"/>
      <c r="J305" s="8">
        <f>IF($E305="","",MAX(Settings!$B$7,ROUND(Settings!$B$8*IF($E305="LONG",H305,I305),2)))</f>
        <v/>
      </c>
      <c r="K305" s="8">
        <f>IF($E305="","",IF($E305="LONG",H305+J305,I305-J305))</f>
        <v/>
      </c>
      <c r="L305" s="7" t="n"/>
      <c r="M305" s="8">
        <f>IF($E305="","",IF($E305="LONG",K305-O305,K305+O305))</f>
        <v/>
      </c>
      <c r="N305" s="7" t="n"/>
      <c r="O305" s="8">
        <f>IF(OR($E305="",AP305=""),"",ROUNDUP(ROUND(MAX(IF($E305="LONG",K305-I305,H305-K305),Settings!$B$9*AP305),6),2))</f>
        <v/>
      </c>
      <c r="P305" s="8">
        <f>IF($E305="","",N305*Settings!$B$4)</f>
        <v/>
      </c>
      <c r="Q305" s="9">
        <f>IF(O305="","",MIN(INT(ROUND(P305/O305,6)),INT(ROUND(Settings!$B$5/K305,6))))</f>
        <v/>
      </c>
      <c r="R305" s="8">
        <f>IF(O305="","",Q305*O305)</f>
        <v/>
      </c>
      <c r="S305" s="8">
        <f>IF(O305="","",IF($E305="LONG",K305+Settings!$B$6*O305,K305-Settings!$B$6*O305))</f>
        <v/>
      </c>
      <c r="T305" s="7" t="n"/>
      <c r="V305" s="8">
        <f>IF(OR($E305="",T305=""),"",IF($E305="LONG",(T305-L305)*Q305,(L305-T305)*Q305))</f>
        <v/>
      </c>
      <c r="W305" s="10">
        <f>IF(V305="","",V305/N305)</f>
        <v/>
      </c>
      <c r="X305" s="11">
        <f>IF(V305="","",V305/R305)</f>
        <v/>
      </c>
      <c r="Y305" s="8">
        <f>IF(OR($E305="",L305=""),"",IF($E305="LONG",L305-K305,K305-L305))</f>
        <v/>
      </c>
      <c r="AP305" s="7" t="n"/>
    </row>
    <row r="306">
      <c r="H306" s="7" t="n"/>
      <c r="I306" s="7" t="n"/>
      <c r="J306" s="8">
        <f>IF($E306="","",MAX(Settings!$B$7,ROUND(Settings!$B$8*IF($E306="LONG",H306,I306),2)))</f>
        <v/>
      </c>
      <c r="K306" s="8">
        <f>IF($E306="","",IF($E306="LONG",H306+J306,I306-J306))</f>
        <v/>
      </c>
      <c r="L306" s="7" t="n"/>
      <c r="M306" s="8">
        <f>IF($E306="","",IF($E306="LONG",K306-O306,K306+O306))</f>
        <v/>
      </c>
      <c r="N306" s="7" t="n"/>
      <c r="O306" s="8">
        <f>IF(OR($E306="",AP306=""),"",ROUNDUP(ROUND(MAX(IF($E306="LONG",K306-I306,H306-K306),Settings!$B$9*AP306),6),2))</f>
        <v/>
      </c>
      <c r="P306" s="8">
        <f>IF($E306="","",N306*Settings!$B$4)</f>
        <v/>
      </c>
      <c r="Q306" s="9">
        <f>IF(O306="","",MIN(INT(ROUND(P306/O306,6)),INT(ROUND(Settings!$B$5/K306,6))))</f>
        <v/>
      </c>
      <c r="R306" s="8">
        <f>IF(O306="","",Q306*O306)</f>
        <v/>
      </c>
      <c r="S306" s="8">
        <f>IF(O306="","",IF($E306="LONG",K306+Settings!$B$6*O306,K306-Settings!$B$6*O306))</f>
        <v/>
      </c>
      <c r="T306" s="7" t="n"/>
      <c r="V306" s="8">
        <f>IF(OR($E306="",T306=""),"",IF($E306="LONG",(T306-L306)*Q306,(L306-T306)*Q306))</f>
        <v/>
      </c>
      <c r="W306" s="10">
        <f>IF(V306="","",V306/N306)</f>
        <v/>
      </c>
      <c r="X306" s="11">
        <f>IF(V306="","",V306/R306)</f>
        <v/>
      </c>
      <c r="Y306" s="8">
        <f>IF(OR($E306="",L306=""),"",IF($E306="LONG",L306-K306,K306-L306))</f>
        <v/>
      </c>
      <c r="AP306" s="7" t="n"/>
    </row>
    <row r="307">
      <c r="H307" s="7" t="n"/>
      <c r="I307" s="7" t="n"/>
      <c r="J307" s="8">
        <f>IF($E307="","",MAX(Settings!$B$7,ROUND(Settings!$B$8*IF($E307="LONG",H307,I307),2)))</f>
        <v/>
      </c>
      <c r="K307" s="8">
        <f>IF($E307="","",IF($E307="LONG",H307+J307,I307-J307))</f>
        <v/>
      </c>
      <c r="L307" s="7" t="n"/>
      <c r="M307" s="8">
        <f>IF($E307="","",IF($E307="LONG",K307-O307,K307+O307))</f>
        <v/>
      </c>
      <c r="N307" s="7" t="n"/>
      <c r="O307" s="8">
        <f>IF(OR($E307="",AP307=""),"",ROUNDUP(ROUND(MAX(IF($E307="LONG",K307-I307,H307-K307),Settings!$B$9*AP307),6),2))</f>
        <v/>
      </c>
      <c r="P307" s="8">
        <f>IF($E307="","",N307*Settings!$B$4)</f>
        <v/>
      </c>
      <c r="Q307" s="9">
        <f>IF(O307="","",MIN(INT(ROUND(P307/O307,6)),INT(ROUND(Settings!$B$5/K307,6))))</f>
        <v/>
      </c>
      <c r="R307" s="8">
        <f>IF(O307="","",Q307*O307)</f>
        <v/>
      </c>
      <c r="S307" s="8">
        <f>IF(O307="","",IF($E307="LONG",K307+Settings!$B$6*O307,K307-Settings!$B$6*O307))</f>
        <v/>
      </c>
      <c r="T307" s="7" t="n"/>
      <c r="V307" s="8">
        <f>IF(OR($E307="",T307=""),"",IF($E307="LONG",(T307-L307)*Q307,(L307-T307)*Q307))</f>
        <v/>
      </c>
      <c r="W307" s="10">
        <f>IF(V307="","",V307/N307)</f>
        <v/>
      </c>
      <c r="X307" s="11">
        <f>IF(V307="","",V307/R307)</f>
        <v/>
      </c>
      <c r="Y307" s="8">
        <f>IF(OR($E307="",L307=""),"",IF($E307="LONG",L307-K307,K307-L307))</f>
        <v/>
      </c>
      <c r="AP307" s="7" t="n"/>
    </row>
    <row r="308">
      <c r="H308" s="7" t="n"/>
      <c r="I308" s="7" t="n"/>
      <c r="J308" s="8">
        <f>IF($E308="","",MAX(Settings!$B$7,ROUND(Settings!$B$8*IF($E308="LONG",H308,I308),2)))</f>
        <v/>
      </c>
      <c r="K308" s="8">
        <f>IF($E308="","",IF($E308="LONG",H308+J308,I308-J308))</f>
        <v/>
      </c>
      <c r="L308" s="7" t="n"/>
      <c r="M308" s="8">
        <f>IF($E308="","",IF($E308="LONG",K308-O308,K308+O308))</f>
        <v/>
      </c>
      <c r="N308" s="7" t="n"/>
      <c r="O308" s="8">
        <f>IF(OR($E308="",AP308=""),"",ROUNDUP(ROUND(MAX(IF($E308="LONG",K308-I308,H308-K308),Settings!$B$9*AP308),6),2))</f>
        <v/>
      </c>
      <c r="P308" s="8">
        <f>IF($E308="","",N308*Settings!$B$4)</f>
        <v/>
      </c>
      <c r="Q308" s="9">
        <f>IF(O308="","",MIN(INT(ROUND(P308/O308,6)),INT(ROUND(Settings!$B$5/K308,6))))</f>
        <v/>
      </c>
      <c r="R308" s="8">
        <f>IF(O308="","",Q308*O308)</f>
        <v/>
      </c>
      <c r="S308" s="8">
        <f>IF(O308="","",IF($E308="LONG",K308+Settings!$B$6*O308,K308-Settings!$B$6*O308))</f>
        <v/>
      </c>
      <c r="T308" s="7" t="n"/>
      <c r="V308" s="8">
        <f>IF(OR($E308="",T308=""),"",IF($E308="LONG",(T308-L308)*Q308,(L308-T308)*Q308))</f>
        <v/>
      </c>
      <c r="W308" s="10">
        <f>IF(V308="","",V308/N308)</f>
        <v/>
      </c>
      <c r="X308" s="11">
        <f>IF(V308="","",V308/R308)</f>
        <v/>
      </c>
      <c r="Y308" s="8">
        <f>IF(OR($E308="",L308=""),"",IF($E308="LONG",L308-K308,K308-L308))</f>
        <v/>
      </c>
      <c r="AP308" s="7" t="n"/>
    </row>
    <row r="309">
      <c r="H309" s="7" t="n"/>
      <c r="I309" s="7" t="n"/>
      <c r="J309" s="8">
        <f>IF($E309="","",MAX(Settings!$B$7,ROUND(Settings!$B$8*IF($E309="LONG",H309,I309),2)))</f>
        <v/>
      </c>
      <c r="K309" s="8">
        <f>IF($E309="","",IF($E309="LONG",H309+J309,I309-J309))</f>
        <v/>
      </c>
      <c r="L309" s="7" t="n"/>
      <c r="M309" s="8">
        <f>IF($E309="","",IF($E309="LONG",K309-O309,K309+O309))</f>
        <v/>
      </c>
      <c r="N309" s="7" t="n"/>
      <c r="O309" s="8">
        <f>IF(OR($E309="",AP309=""),"",ROUNDUP(ROUND(MAX(IF($E309="LONG",K309-I309,H309-K309),Settings!$B$9*AP309),6),2))</f>
        <v/>
      </c>
      <c r="P309" s="8">
        <f>IF($E309="","",N309*Settings!$B$4)</f>
        <v/>
      </c>
      <c r="Q309" s="9">
        <f>IF(O309="","",MIN(INT(ROUND(P309/O309,6)),INT(ROUND(Settings!$B$5/K309,6))))</f>
        <v/>
      </c>
      <c r="R309" s="8">
        <f>IF(O309="","",Q309*O309)</f>
        <v/>
      </c>
      <c r="S309" s="8">
        <f>IF(O309="","",IF($E309="LONG",K309+Settings!$B$6*O309,K309-Settings!$B$6*O309))</f>
        <v/>
      </c>
      <c r="T309" s="7" t="n"/>
      <c r="V309" s="8">
        <f>IF(OR($E309="",T309=""),"",IF($E309="LONG",(T309-L309)*Q309,(L309-T309)*Q309))</f>
        <v/>
      </c>
      <c r="W309" s="10">
        <f>IF(V309="","",V309/N309)</f>
        <v/>
      </c>
      <c r="X309" s="11">
        <f>IF(V309="","",V309/R309)</f>
        <v/>
      </c>
      <c r="Y309" s="8">
        <f>IF(OR($E309="",L309=""),"",IF($E309="LONG",L309-K309,K309-L309))</f>
        <v/>
      </c>
      <c r="AP309" s="7" t="n"/>
    </row>
    <row r="310">
      <c r="H310" s="7" t="n"/>
      <c r="I310" s="7" t="n"/>
      <c r="J310" s="8">
        <f>IF($E310="","",MAX(Settings!$B$7,ROUND(Settings!$B$8*IF($E310="LONG",H310,I310),2)))</f>
        <v/>
      </c>
      <c r="K310" s="8">
        <f>IF($E310="","",IF($E310="LONG",H310+J310,I310-J310))</f>
        <v/>
      </c>
      <c r="L310" s="7" t="n"/>
      <c r="M310" s="8">
        <f>IF($E310="","",IF($E310="LONG",K310-O310,K310+O310))</f>
        <v/>
      </c>
      <c r="N310" s="7" t="n"/>
      <c r="O310" s="8">
        <f>IF(OR($E310="",AP310=""),"",ROUNDUP(ROUND(MAX(IF($E310="LONG",K310-I310,H310-K310),Settings!$B$9*AP310),6),2))</f>
        <v/>
      </c>
      <c r="P310" s="8">
        <f>IF($E310="","",N310*Settings!$B$4)</f>
        <v/>
      </c>
      <c r="Q310" s="9">
        <f>IF(O310="","",MIN(INT(ROUND(P310/O310,6)),INT(ROUND(Settings!$B$5/K310,6))))</f>
        <v/>
      </c>
      <c r="R310" s="8">
        <f>IF(O310="","",Q310*O310)</f>
        <v/>
      </c>
      <c r="S310" s="8">
        <f>IF(O310="","",IF($E310="LONG",K310+Settings!$B$6*O310,K310-Settings!$B$6*O310))</f>
        <v/>
      </c>
      <c r="T310" s="7" t="n"/>
      <c r="V310" s="8">
        <f>IF(OR($E310="",T310=""),"",IF($E310="LONG",(T310-L310)*Q310,(L310-T310)*Q310))</f>
        <v/>
      </c>
      <c r="W310" s="10">
        <f>IF(V310="","",V310/N310)</f>
        <v/>
      </c>
      <c r="X310" s="11">
        <f>IF(V310="","",V310/R310)</f>
        <v/>
      </c>
      <c r="Y310" s="8">
        <f>IF(OR($E310="",L310=""),"",IF($E310="LONG",L310-K310,K310-L310))</f>
        <v/>
      </c>
      <c r="AP310" s="7" t="n"/>
    </row>
    <row r="311">
      <c r="H311" s="7" t="n"/>
      <c r="I311" s="7" t="n"/>
      <c r="J311" s="8">
        <f>IF($E311="","",MAX(Settings!$B$7,ROUND(Settings!$B$8*IF($E311="LONG",H311,I311),2)))</f>
        <v/>
      </c>
      <c r="K311" s="8">
        <f>IF($E311="","",IF($E311="LONG",H311+J311,I311-J311))</f>
        <v/>
      </c>
      <c r="L311" s="7" t="n"/>
      <c r="M311" s="8">
        <f>IF($E311="","",IF($E311="LONG",K311-O311,K311+O311))</f>
        <v/>
      </c>
      <c r="N311" s="7" t="n"/>
      <c r="O311" s="8">
        <f>IF(OR($E311="",AP311=""),"",ROUNDUP(ROUND(MAX(IF($E311="LONG",K311-I311,H311-K311),Settings!$B$9*AP311),6),2))</f>
        <v/>
      </c>
      <c r="P311" s="8">
        <f>IF($E311="","",N311*Settings!$B$4)</f>
        <v/>
      </c>
      <c r="Q311" s="9">
        <f>IF(O311="","",MIN(INT(ROUND(P311/O311,6)),INT(ROUND(Settings!$B$5/K311,6))))</f>
        <v/>
      </c>
      <c r="R311" s="8">
        <f>IF(O311="","",Q311*O311)</f>
        <v/>
      </c>
      <c r="S311" s="8">
        <f>IF(O311="","",IF($E311="LONG",K311+Settings!$B$6*O311,K311-Settings!$B$6*O311))</f>
        <v/>
      </c>
      <c r="T311" s="7" t="n"/>
      <c r="V311" s="8">
        <f>IF(OR($E311="",T311=""),"",IF($E311="LONG",(T311-L311)*Q311,(L311-T311)*Q311))</f>
        <v/>
      </c>
      <c r="W311" s="10">
        <f>IF(V311="","",V311/N311)</f>
        <v/>
      </c>
      <c r="X311" s="11">
        <f>IF(V311="","",V311/R311)</f>
        <v/>
      </c>
      <c r="Y311" s="8">
        <f>IF(OR($E311="",L311=""),"",IF($E311="LONG",L311-K311,K311-L311))</f>
        <v/>
      </c>
      <c r="AP311" s="7" t="n"/>
    </row>
    <row r="312">
      <c r="H312" s="7" t="n"/>
      <c r="I312" s="7" t="n"/>
      <c r="J312" s="8">
        <f>IF($E312="","",MAX(Settings!$B$7,ROUND(Settings!$B$8*IF($E312="LONG",H312,I312),2)))</f>
        <v/>
      </c>
      <c r="K312" s="8">
        <f>IF($E312="","",IF($E312="LONG",H312+J312,I312-J312))</f>
        <v/>
      </c>
      <c r="L312" s="7" t="n"/>
      <c r="M312" s="8">
        <f>IF($E312="","",IF($E312="LONG",K312-O312,K312+O312))</f>
        <v/>
      </c>
      <c r="N312" s="7" t="n"/>
      <c r="O312" s="8">
        <f>IF(OR($E312="",AP312=""),"",ROUNDUP(ROUND(MAX(IF($E312="LONG",K312-I312,H312-K312),Settings!$B$9*AP312),6),2))</f>
        <v/>
      </c>
      <c r="P312" s="8">
        <f>IF($E312="","",N312*Settings!$B$4)</f>
        <v/>
      </c>
      <c r="Q312" s="9">
        <f>IF(O312="","",MIN(INT(ROUND(P312/O312,6)),INT(ROUND(Settings!$B$5/K312,6))))</f>
        <v/>
      </c>
      <c r="R312" s="8">
        <f>IF(O312="","",Q312*O312)</f>
        <v/>
      </c>
      <c r="S312" s="8">
        <f>IF(O312="","",IF($E312="LONG",K312+Settings!$B$6*O312,K312-Settings!$B$6*O312))</f>
        <v/>
      </c>
      <c r="T312" s="7" t="n"/>
      <c r="V312" s="8">
        <f>IF(OR($E312="",T312=""),"",IF($E312="LONG",(T312-L312)*Q312,(L312-T312)*Q312))</f>
        <v/>
      </c>
      <c r="W312" s="10">
        <f>IF(V312="","",V312/N312)</f>
        <v/>
      </c>
      <c r="X312" s="11">
        <f>IF(V312="","",V312/R312)</f>
        <v/>
      </c>
      <c r="Y312" s="8">
        <f>IF(OR($E312="",L312=""),"",IF($E312="LONG",L312-K312,K312-L312))</f>
        <v/>
      </c>
      <c r="AP312" s="7" t="n"/>
    </row>
    <row r="313">
      <c r="H313" s="7" t="n"/>
      <c r="I313" s="7" t="n"/>
      <c r="J313" s="8">
        <f>IF($E313="","",MAX(Settings!$B$7,ROUND(Settings!$B$8*IF($E313="LONG",H313,I313),2)))</f>
        <v/>
      </c>
      <c r="K313" s="8">
        <f>IF($E313="","",IF($E313="LONG",H313+J313,I313-J313))</f>
        <v/>
      </c>
      <c r="L313" s="7" t="n"/>
      <c r="M313" s="8">
        <f>IF($E313="","",IF($E313="LONG",K313-O313,K313+O313))</f>
        <v/>
      </c>
      <c r="N313" s="7" t="n"/>
      <c r="O313" s="8">
        <f>IF(OR($E313="",AP313=""),"",ROUNDUP(ROUND(MAX(IF($E313="LONG",K313-I313,H313-K313),Settings!$B$9*AP313),6),2))</f>
        <v/>
      </c>
      <c r="P313" s="8">
        <f>IF($E313="","",N313*Settings!$B$4)</f>
        <v/>
      </c>
      <c r="Q313" s="9">
        <f>IF(O313="","",MIN(INT(ROUND(P313/O313,6)),INT(ROUND(Settings!$B$5/K313,6))))</f>
        <v/>
      </c>
      <c r="R313" s="8">
        <f>IF(O313="","",Q313*O313)</f>
        <v/>
      </c>
      <c r="S313" s="8">
        <f>IF(O313="","",IF($E313="LONG",K313+Settings!$B$6*O313,K313-Settings!$B$6*O313))</f>
        <v/>
      </c>
      <c r="T313" s="7" t="n"/>
      <c r="V313" s="8">
        <f>IF(OR($E313="",T313=""),"",IF($E313="LONG",(T313-L313)*Q313,(L313-T313)*Q313))</f>
        <v/>
      </c>
      <c r="W313" s="10">
        <f>IF(V313="","",V313/N313)</f>
        <v/>
      </c>
      <c r="X313" s="11">
        <f>IF(V313="","",V313/R313)</f>
        <v/>
      </c>
      <c r="Y313" s="8">
        <f>IF(OR($E313="",L313=""),"",IF($E313="LONG",L313-K313,K313-L313))</f>
        <v/>
      </c>
      <c r="AP313" s="7" t="n"/>
    </row>
    <row r="314">
      <c r="H314" s="7" t="n"/>
      <c r="I314" s="7" t="n"/>
      <c r="J314" s="8">
        <f>IF($E314="","",MAX(Settings!$B$7,ROUND(Settings!$B$8*IF($E314="LONG",H314,I314),2)))</f>
        <v/>
      </c>
      <c r="K314" s="8">
        <f>IF($E314="","",IF($E314="LONG",H314+J314,I314-J314))</f>
        <v/>
      </c>
      <c r="L314" s="7" t="n"/>
      <c r="M314" s="8">
        <f>IF($E314="","",IF($E314="LONG",K314-O314,K314+O314))</f>
        <v/>
      </c>
      <c r="N314" s="7" t="n"/>
      <c r="O314" s="8">
        <f>IF(OR($E314="",AP314=""),"",ROUNDUP(ROUND(MAX(IF($E314="LONG",K314-I314,H314-K314),Settings!$B$9*AP314),6),2))</f>
        <v/>
      </c>
      <c r="P314" s="8">
        <f>IF($E314="","",N314*Settings!$B$4)</f>
        <v/>
      </c>
      <c r="Q314" s="9">
        <f>IF(O314="","",MIN(INT(ROUND(P314/O314,6)),INT(ROUND(Settings!$B$5/K314,6))))</f>
        <v/>
      </c>
      <c r="R314" s="8">
        <f>IF(O314="","",Q314*O314)</f>
        <v/>
      </c>
      <c r="S314" s="8">
        <f>IF(O314="","",IF($E314="LONG",K314+Settings!$B$6*O314,K314-Settings!$B$6*O314))</f>
        <v/>
      </c>
      <c r="T314" s="7" t="n"/>
      <c r="V314" s="8">
        <f>IF(OR($E314="",T314=""),"",IF($E314="LONG",(T314-L314)*Q314,(L314-T314)*Q314))</f>
        <v/>
      </c>
      <c r="W314" s="10">
        <f>IF(V314="","",V314/N314)</f>
        <v/>
      </c>
      <c r="X314" s="11">
        <f>IF(V314="","",V314/R314)</f>
        <v/>
      </c>
      <c r="Y314" s="8">
        <f>IF(OR($E314="",L314=""),"",IF($E314="LONG",L314-K314,K314-L314))</f>
        <v/>
      </c>
      <c r="AP314" s="7" t="n"/>
    </row>
    <row r="315">
      <c r="H315" s="7" t="n"/>
      <c r="I315" s="7" t="n"/>
      <c r="J315" s="8">
        <f>IF($E315="","",MAX(Settings!$B$7,ROUND(Settings!$B$8*IF($E315="LONG",H315,I315),2)))</f>
        <v/>
      </c>
      <c r="K315" s="8">
        <f>IF($E315="","",IF($E315="LONG",H315+J315,I315-J315))</f>
        <v/>
      </c>
      <c r="L315" s="7" t="n"/>
      <c r="M315" s="8">
        <f>IF($E315="","",IF($E315="LONG",K315-O315,K315+O315))</f>
        <v/>
      </c>
      <c r="N315" s="7" t="n"/>
      <c r="O315" s="8">
        <f>IF(OR($E315="",AP315=""),"",ROUNDUP(ROUND(MAX(IF($E315="LONG",K315-I315,H315-K315),Settings!$B$9*AP315),6),2))</f>
        <v/>
      </c>
      <c r="P315" s="8">
        <f>IF($E315="","",N315*Settings!$B$4)</f>
        <v/>
      </c>
      <c r="Q315" s="9">
        <f>IF(O315="","",MIN(INT(ROUND(P315/O315,6)),INT(ROUND(Settings!$B$5/K315,6))))</f>
        <v/>
      </c>
      <c r="R315" s="8">
        <f>IF(O315="","",Q315*O315)</f>
        <v/>
      </c>
      <c r="S315" s="8">
        <f>IF(O315="","",IF($E315="LONG",K315+Settings!$B$6*O315,K315-Settings!$B$6*O315))</f>
        <v/>
      </c>
      <c r="T315" s="7" t="n"/>
      <c r="V315" s="8">
        <f>IF(OR($E315="",T315=""),"",IF($E315="LONG",(T315-L315)*Q315,(L315-T315)*Q315))</f>
        <v/>
      </c>
      <c r="W315" s="10">
        <f>IF(V315="","",V315/N315)</f>
        <v/>
      </c>
      <c r="X315" s="11">
        <f>IF(V315="","",V315/R315)</f>
        <v/>
      </c>
      <c r="Y315" s="8">
        <f>IF(OR($E315="",L315=""),"",IF($E315="LONG",L315-K315,K315-L315))</f>
        <v/>
      </c>
      <c r="AP315" s="7" t="n"/>
    </row>
    <row r="316">
      <c r="H316" s="7" t="n"/>
      <c r="I316" s="7" t="n"/>
      <c r="J316" s="8">
        <f>IF($E316="","",MAX(Settings!$B$7,ROUND(Settings!$B$8*IF($E316="LONG",H316,I316),2)))</f>
        <v/>
      </c>
      <c r="K316" s="8">
        <f>IF($E316="","",IF($E316="LONG",H316+J316,I316-J316))</f>
        <v/>
      </c>
      <c r="L316" s="7" t="n"/>
      <c r="M316" s="8">
        <f>IF($E316="","",IF($E316="LONG",K316-O316,K316+O316))</f>
        <v/>
      </c>
      <c r="N316" s="7" t="n"/>
      <c r="O316" s="8">
        <f>IF(OR($E316="",AP316=""),"",ROUNDUP(ROUND(MAX(IF($E316="LONG",K316-I316,H316-K316),Settings!$B$9*AP316),6),2))</f>
        <v/>
      </c>
      <c r="P316" s="8">
        <f>IF($E316="","",N316*Settings!$B$4)</f>
        <v/>
      </c>
      <c r="Q316" s="9">
        <f>IF(O316="","",MIN(INT(ROUND(P316/O316,6)),INT(ROUND(Settings!$B$5/K316,6))))</f>
        <v/>
      </c>
      <c r="R316" s="8">
        <f>IF(O316="","",Q316*O316)</f>
        <v/>
      </c>
      <c r="S316" s="8">
        <f>IF(O316="","",IF($E316="LONG",K316+Settings!$B$6*O316,K316-Settings!$B$6*O316))</f>
        <v/>
      </c>
      <c r="T316" s="7" t="n"/>
      <c r="V316" s="8">
        <f>IF(OR($E316="",T316=""),"",IF($E316="LONG",(T316-L316)*Q316,(L316-T316)*Q316))</f>
        <v/>
      </c>
      <c r="W316" s="10">
        <f>IF(V316="","",V316/N316)</f>
        <v/>
      </c>
      <c r="X316" s="11">
        <f>IF(V316="","",V316/R316)</f>
        <v/>
      </c>
      <c r="Y316" s="8">
        <f>IF(OR($E316="",L316=""),"",IF($E316="LONG",L316-K316,K316-L316))</f>
        <v/>
      </c>
      <c r="AP316" s="7" t="n"/>
    </row>
    <row r="317">
      <c r="H317" s="7" t="n"/>
      <c r="I317" s="7" t="n"/>
      <c r="J317" s="8">
        <f>IF($E317="","",MAX(Settings!$B$7,ROUND(Settings!$B$8*IF($E317="LONG",H317,I317),2)))</f>
        <v/>
      </c>
      <c r="K317" s="8">
        <f>IF($E317="","",IF($E317="LONG",H317+J317,I317-J317))</f>
        <v/>
      </c>
      <c r="L317" s="7" t="n"/>
      <c r="M317" s="8">
        <f>IF($E317="","",IF($E317="LONG",K317-O317,K317+O317))</f>
        <v/>
      </c>
      <c r="N317" s="7" t="n"/>
      <c r="O317" s="8">
        <f>IF(OR($E317="",AP317=""),"",ROUNDUP(ROUND(MAX(IF($E317="LONG",K317-I317,H317-K317),Settings!$B$9*AP317),6),2))</f>
        <v/>
      </c>
      <c r="P317" s="8">
        <f>IF($E317="","",N317*Settings!$B$4)</f>
        <v/>
      </c>
      <c r="Q317" s="9">
        <f>IF(O317="","",MIN(INT(ROUND(P317/O317,6)),INT(ROUND(Settings!$B$5/K317,6))))</f>
        <v/>
      </c>
      <c r="R317" s="8">
        <f>IF(O317="","",Q317*O317)</f>
        <v/>
      </c>
      <c r="S317" s="8">
        <f>IF(O317="","",IF($E317="LONG",K317+Settings!$B$6*O317,K317-Settings!$B$6*O317))</f>
        <v/>
      </c>
      <c r="T317" s="7" t="n"/>
      <c r="V317" s="8">
        <f>IF(OR($E317="",T317=""),"",IF($E317="LONG",(T317-L317)*Q317,(L317-T317)*Q317))</f>
        <v/>
      </c>
      <c r="W317" s="10">
        <f>IF(V317="","",V317/N317)</f>
        <v/>
      </c>
      <c r="X317" s="11">
        <f>IF(V317="","",V317/R317)</f>
        <v/>
      </c>
      <c r="Y317" s="8">
        <f>IF(OR($E317="",L317=""),"",IF($E317="LONG",L317-K317,K317-L317))</f>
        <v/>
      </c>
      <c r="AP317" s="7" t="n"/>
    </row>
    <row r="318">
      <c r="H318" s="7" t="n"/>
      <c r="I318" s="7" t="n"/>
      <c r="J318" s="8">
        <f>IF($E318="","",MAX(Settings!$B$7,ROUND(Settings!$B$8*IF($E318="LONG",H318,I318),2)))</f>
        <v/>
      </c>
      <c r="K318" s="8">
        <f>IF($E318="","",IF($E318="LONG",H318+J318,I318-J318))</f>
        <v/>
      </c>
      <c r="L318" s="7" t="n"/>
      <c r="M318" s="8">
        <f>IF($E318="","",IF($E318="LONG",K318-O318,K318+O318))</f>
        <v/>
      </c>
      <c r="N318" s="7" t="n"/>
      <c r="O318" s="8">
        <f>IF(OR($E318="",AP318=""),"",ROUNDUP(ROUND(MAX(IF($E318="LONG",K318-I318,H318-K318),Settings!$B$9*AP318),6),2))</f>
        <v/>
      </c>
      <c r="P318" s="8">
        <f>IF($E318="","",N318*Settings!$B$4)</f>
        <v/>
      </c>
      <c r="Q318" s="9">
        <f>IF(O318="","",MIN(INT(ROUND(P318/O318,6)),INT(ROUND(Settings!$B$5/K318,6))))</f>
        <v/>
      </c>
      <c r="R318" s="8">
        <f>IF(O318="","",Q318*O318)</f>
        <v/>
      </c>
      <c r="S318" s="8">
        <f>IF(O318="","",IF($E318="LONG",K318+Settings!$B$6*O318,K318-Settings!$B$6*O318))</f>
        <v/>
      </c>
      <c r="T318" s="7" t="n"/>
      <c r="V318" s="8">
        <f>IF(OR($E318="",T318=""),"",IF($E318="LONG",(T318-L318)*Q318,(L318-T318)*Q318))</f>
        <v/>
      </c>
      <c r="W318" s="10">
        <f>IF(V318="","",V318/N318)</f>
        <v/>
      </c>
      <c r="X318" s="11">
        <f>IF(V318="","",V318/R318)</f>
        <v/>
      </c>
      <c r="Y318" s="8">
        <f>IF(OR($E318="",L318=""),"",IF($E318="LONG",L318-K318,K318-L318))</f>
        <v/>
      </c>
      <c r="AP318" s="7" t="n"/>
    </row>
    <row r="319">
      <c r="H319" s="7" t="n"/>
      <c r="I319" s="7" t="n"/>
      <c r="J319" s="8">
        <f>IF($E319="","",MAX(Settings!$B$7,ROUND(Settings!$B$8*IF($E319="LONG",H319,I319),2)))</f>
        <v/>
      </c>
      <c r="K319" s="8">
        <f>IF($E319="","",IF($E319="LONG",H319+J319,I319-J319))</f>
        <v/>
      </c>
      <c r="L319" s="7" t="n"/>
      <c r="M319" s="8">
        <f>IF($E319="","",IF($E319="LONG",K319-O319,K319+O319))</f>
        <v/>
      </c>
      <c r="N319" s="7" t="n"/>
      <c r="O319" s="8">
        <f>IF(OR($E319="",AP319=""),"",ROUNDUP(ROUND(MAX(IF($E319="LONG",K319-I319,H319-K319),Settings!$B$9*AP319),6),2))</f>
        <v/>
      </c>
      <c r="P319" s="8">
        <f>IF($E319="","",N319*Settings!$B$4)</f>
        <v/>
      </c>
      <c r="Q319" s="9">
        <f>IF(O319="","",MIN(INT(ROUND(P319/O319,6)),INT(ROUND(Settings!$B$5/K319,6))))</f>
        <v/>
      </c>
      <c r="R319" s="8">
        <f>IF(O319="","",Q319*O319)</f>
        <v/>
      </c>
      <c r="S319" s="8">
        <f>IF(O319="","",IF($E319="LONG",K319+Settings!$B$6*O319,K319-Settings!$B$6*O319))</f>
        <v/>
      </c>
      <c r="T319" s="7" t="n"/>
      <c r="V319" s="8">
        <f>IF(OR($E319="",T319=""),"",IF($E319="LONG",(T319-L319)*Q319,(L319-T319)*Q319))</f>
        <v/>
      </c>
      <c r="W319" s="10">
        <f>IF(V319="","",V319/N319)</f>
        <v/>
      </c>
      <c r="X319" s="11">
        <f>IF(V319="","",V319/R319)</f>
        <v/>
      </c>
      <c r="Y319" s="8">
        <f>IF(OR($E319="",L319=""),"",IF($E319="LONG",L319-K319,K319-L319))</f>
        <v/>
      </c>
      <c r="AP319" s="7" t="n"/>
    </row>
    <row r="320">
      <c r="H320" s="7" t="n"/>
      <c r="I320" s="7" t="n"/>
      <c r="J320" s="8">
        <f>IF($E320="","",MAX(Settings!$B$7,ROUND(Settings!$B$8*IF($E320="LONG",H320,I320),2)))</f>
        <v/>
      </c>
      <c r="K320" s="8">
        <f>IF($E320="","",IF($E320="LONG",H320+J320,I320-J320))</f>
        <v/>
      </c>
      <c r="L320" s="7" t="n"/>
      <c r="M320" s="8">
        <f>IF($E320="","",IF($E320="LONG",K320-O320,K320+O320))</f>
        <v/>
      </c>
      <c r="N320" s="7" t="n"/>
      <c r="O320" s="8">
        <f>IF(OR($E320="",AP320=""),"",ROUNDUP(ROUND(MAX(IF($E320="LONG",K320-I320,H320-K320),Settings!$B$9*AP320),6),2))</f>
        <v/>
      </c>
      <c r="P320" s="8">
        <f>IF($E320="","",N320*Settings!$B$4)</f>
        <v/>
      </c>
      <c r="Q320" s="9">
        <f>IF(O320="","",MIN(INT(ROUND(P320/O320,6)),INT(ROUND(Settings!$B$5/K320,6))))</f>
        <v/>
      </c>
      <c r="R320" s="8">
        <f>IF(O320="","",Q320*O320)</f>
        <v/>
      </c>
      <c r="S320" s="8">
        <f>IF(O320="","",IF($E320="LONG",K320+Settings!$B$6*O320,K320-Settings!$B$6*O320))</f>
        <v/>
      </c>
      <c r="T320" s="7" t="n"/>
      <c r="V320" s="8">
        <f>IF(OR($E320="",T320=""),"",IF($E320="LONG",(T320-L320)*Q320,(L320-T320)*Q320))</f>
        <v/>
      </c>
      <c r="W320" s="10">
        <f>IF(V320="","",V320/N320)</f>
        <v/>
      </c>
      <c r="X320" s="11">
        <f>IF(V320="","",V320/R320)</f>
        <v/>
      </c>
      <c r="Y320" s="8">
        <f>IF(OR($E320="",L320=""),"",IF($E320="LONG",L320-K320,K320-L320))</f>
        <v/>
      </c>
      <c r="AP320" s="7" t="n"/>
    </row>
    <row r="321">
      <c r="H321" s="7" t="n"/>
      <c r="I321" s="7" t="n"/>
      <c r="J321" s="8">
        <f>IF($E321="","",MAX(Settings!$B$7,ROUND(Settings!$B$8*IF($E321="LONG",H321,I321),2)))</f>
        <v/>
      </c>
      <c r="K321" s="8">
        <f>IF($E321="","",IF($E321="LONG",H321+J321,I321-J321))</f>
        <v/>
      </c>
      <c r="L321" s="7" t="n"/>
      <c r="M321" s="8">
        <f>IF($E321="","",IF($E321="LONG",K321-O321,K321+O321))</f>
        <v/>
      </c>
      <c r="N321" s="7" t="n"/>
      <c r="O321" s="8">
        <f>IF(OR($E321="",AP321=""),"",ROUNDUP(ROUND(MAX(IF($E321="LONG",K321-I321,H321-K321),Settings!$B$9*AP321),6),2))</f>
        <v/>
      </c>
      <c r="P321" s="8">
        <f>IF($E321="","",N321*Settings!$B$4)</f>
        <v/>
      </c>
      <c r="Q321" s="9">
        <f>IF(O321="","",MIN(INT(ROUND(P321/O321,6)),INT(ROUND(Settings!$B$5/K321,6))))</f>
        <v/>
      </c>
      <c r="R321" s="8">
        <f>IF(O321="","",Q321*O321)</f>
        <v/>
      </c>
      <c r="S321" s="8">
        <f>IF(O321="","",IF($E321="LONG",K321+Settings!$B$6*O321,K321-Settings!$B$6*O321))</f>
        <v/>
      </c>
      <c r="T321" s="7" t="n"/>
      <c r="V321" s="8">
        <f>IF(OR($E321="",T321=""),"",IF($E321="LONG",(T321-L321)*Q321,(L321-T321)*Q321))</f>
        <v/>
      </c>
      <c r="W321" s="10">
        <f>IF(V321="","",V321/N321)</f>
        <v/>
      </c>
      <c r="X321" s="11">
        <f>IF(V321="","",V321/R321)</f>
        <v/>
      </c>
      <c r="Y321" s="8">
        <f>IF(OR($E321="",L321=""),"",IF($E321="LONG",L321-K321,K321-L321))</f>
        <v/>
      </c>
      <c r="AP321" s="7" t="n"/>
    </row>
    <row r="322">
      <c r="H322" s="7" t="n"/>
      <c r="I322" s="7" t="n"/>
      <c r="J322" s="8">
        <f>IF($E322="","",MAX(Settings!$B$7,ROUND(Settings!$B$8*IF($E322="LONG",H322,I322),2)))</f>
        <v/>
      </c>
      <c r="K322" s="8">
        <f>IF($E322="","",IF($E322="LONG",H322+J322,I322-J322))</f>
        <v/>
      </c>
      <c r="L322" s="7" t="n"/>
      <c r="M322" s="8">
        <f>IF($E322="","",IF($E322="LONG",K322-O322,K322+O322))</f>
        <v/>
      </c>
      <c r="N322" s="7" t="n"/>
      <c r="O322" s="8">
        <f>IF(OR($E322="",AP322=""),"",ROUNDUP(ROUND(MAX(IF($E322="LONG",K322-I322,H322-K322),Settings!$B$9*AP322),6),2))</f>
        <v/>
      </c>
      <c r="P322" s="8">
        <f>IF($E322="","",N322*Settings!$B$4)</f>
        <v/>
      </c>
      <c r="Q322" s="9">
        <f>IF(O322="","",MIN(INT(ROUND(P322/O322,6)),INT(ROUND(Settings!$B$5/K322,6))))</f>
        <v/>
      </c>
      <c r="R322" s="8">
        <f>IF(O322="","",Q322*O322)</f>
        <v/>
      </c>
      <c r="S322" s="8">
        <f>IF(O322="","",IF($E322="LONG",K322+Settings!$B$6*O322,K322-Settings!$B$6*O322))</f>
        <v/>
      </c>
      <c r="T322" s="7" t="n"/>
      <c r="V322" s="8">
        <f>IF(OR($E322="",T322=""),"",IF($E322="LONG",(T322-L322)*Q322,(L322-T322)*Q322))</f>
        <v/>
      </c>
      <c r="W322" s="10">
        <f>IF(V322="","",V322/N322)</f>
        <v/>
      </c>
      <c r="X322" s="11">
        <f>IF(V322="","",V322/R322)</f>
        <v/>
      </c>
      <c r="Y322" s="8">
        <f>IF(OR($E322="",L322=""),"",IF($E322="LONG",L322-K322,K322-L322))</f>
        <v/>
      </c>
      <c r="AP322" s="7" t="n"/>
    </row>
    <row r="323">
      <c r="H323" s="7" t="n"/>
      <c r="I323" s="7" t="n"/>
      <c r="J323" s="8">
        <f>IF($E323="","",MAX(Settings!$B$7,ROUND(Settings!$B$8*IF($E323="LONG",H323,I323),2)))</f>
        <v/>
      </c>
      <c r="K323" s="8">
        <f>IF($E323="","",IF($E323="LONG",H323+J323,I323-J323))</f>
        <v/>
      </c>
      <c r="L323" s="7" t="n"/>
      <c r="M323" s="8">
        <f>IF($E323="","",IF($E323="LONG",K323-O323,K323+O323))</f>
        <v/>
      </c>
      <c r="N323" s="7" t="n"/>
      <c r="O323" s="8">
        <f>IF(OR($E323="",AP323=""),"",ROUNDUP(ROUND(MAX(IF($E323="LONG",K323-I323,H323-K323),Settings!$B$9*AP323),6),2))</f>
        <v/>
      </c>
      <c r="P323" s="8">
        <f>IF($E323="","",N323*Settings!$B$4)</f>
        <v/>
      </c>
      <c r="Q323" s="9">
        <f>IF(O323="","",MIN(INT(ROUND(P323/O323,6)),INT(ROUND(Settings!$B$5/K323,6))))</f>
        <v/>
      </c>
      <c r="R323" s="8">
        <f>IF(O323="","",Q323*O323)</f>
        <v/>
      </c>
      <c r="S323" s="8">
        <f>IF(O323="","",IF($E323="LONG",K323+Settings!$B$6*O323,K323-Settings!$B$6*O323))</f>
        <v/>
      </c>
      <c r="T323" s="7" t="n"/>
      <c r="V323" s="8">
        <f>IF(OR($E323="",T323=""),"",IF($E323="LONG",(T323-L323)*Q323,(L323-T323)*Q323))</f>
        <v/>
      </c>
      <c r="W323" s="10">
        <f>IF(V323="","",V323/N323)</f>
        <v/>
      </c>
      <c r="X323" s="11">
        <f>IF(V323="","",V323/R323)</f>
        <v/>
      </c>
      <c r="Y323" s="8">
        <f>IF(OR($E323="",L323=""),"",IF($E323="LONG",L323-K323,K323-L323))</f>
        <v/>
      </c>
      <c r="AP323" s="7" t="n"/>
    </row>
    <row r="324">
      <c r="H324" s="7" t="n"/>
      <c r="I324" s="7" t="n"/>
      <c r="J324" s="8">
        <f>IF($E324="","",MAX(Settings!$B$7,ROUND(Settings!$B$8*IF($E324="LONG",H324,I324),2)))</f>
        <v/>
      </c>
      <c r="K324" s="8">
        <f>IF($E324="","",IF($E324="LONG",H324+J324,I324-J324))</f>
        <v/>
      </c>
      <c r="L324" s="7" t="n"/>
      <c r="M324" s="8">
        <f>IF($E324="","",IF($E324="LONG",K324-O324,K324+O324))</f>
        <v/>
      </c>
      <c r="N324" s="7" t="n"/>
      <c r="O324" s="8">
        <f>IF(OR($E324="",AP324=""),"",ROUNDUP(ROUND(MAX(IF($E324="LONG",K324-I324,H324-K324),Settings!$B$9*AP324),6),2))</f>
        <v/>
      </c>
      <c r="P324" s="8">
        <f>IF($E324="","",N324*Settings!$B$4)</f>
        <v/>
      </c>
      <c r="Q324" s="9">
        <f>IF(O324="","",MIN(INT(ROUND(P324/O324,6)),INT(ROUND(Settings!$B$5/K324,6))))</f>
        <v/>
      </c>
      <c r="R324" s="8">
        <f>IF(O324="","",Q324*O324)</f>
        <v/>
      </c>
      <c r="S324" s="8">
        <f>IF(O324="","",IF($E324="LONG",K324+Settings!$B$6*O324,K324-Settings!$B$6*O324))</f>
        <v/>
      </c>
      <c r="T324" s="7" t="n"/>
      <c r="V324" s="8">
        <f>IF(OR($E324="",T324=""),"",IF($E324="LONG",(T324-L324)*Q324,(L324-T324)*Q324))</f>
        <v/>
      </c>
      <c r="W324" s="10">
        <f>IF(V324="","",V324/N324)</f>
        <v/>
      </c>
      <c r="X324" s="11">
        <f>IF(V324="","",V324/R324)</f>
        <v/>
      </c>
      <c r="Y324" s="8">
        <f>IF(OR($E324="",L324=""),"",IF($E324="LONG",L324-K324,K324-L324))</f>
        <v/>
      </c>
      <c r="AP324" s="7" t="n"/>
    </row>
    <row r="325">
      <c r="H325" s="7" t="n"/>
      <c r="I325" s="7" t="n"/>
      <c r="J325" s="8">
        <f>IF($E325="","",MAX(Settings!$B$7,ROUND(Settings!$B$8*IF($E325="LONG",H325,I325),2)))</f>
        <v/>
      </c>
      <c r="K325" s="8">
        <f>IF($E325="","",IF($E325="LONG",H325+J325,I325-J325))</f>
        <v/>
      </c>
      <c r="L325" s="7" t="n"/>
      <c r="M325" s="8">
        <f>IF($E325="","",IF($E325="LONG",K325-O325,K325+O325))</f>
        <v/>
      </c>
      <c r="N325" s="7" t="n"/>
      <c r="O325" s="8">
        <f>IF(OR($E325="",AP325=""),"",ROUNDUP(ROUND(MAX(IF($E325="LONG",K325-I325,H325-K325),Settings!$B$9*AP325),6),2))</f>
        <v/>
      </c>
      <c r="P325" s="8">
        <f>IF($E325="","",N325*Settings!$B$4)</f>
        <v/>
      </c>
      <c r="Q325" s="9">
        <f>IF(O325="","",MIN(INT(ROUND(P325/O325,6)),INT(ROUND(Settings!$B$5/K325,6))))</f>
        <v/>
      </c>
      <c r="R325" s="8">
        <f>IF(O325="","",Q325*O325)</f>
        <v/>
      </c>
      <c r="S325" s="8">
        <f>IF(O325="","",IF($E325="LONG",K325+Settings!$B$6*O325,K325-Settings!$B$6*O325))</f>
        <v/>
      </c>
      <c r="T325" s="7" t="n"/>
      <c r="V325" s="8">
        <f>IF(OR($E325="",T325=""),"",IF($E325="LONG",(T325-L325)*Q325,(L325-T325)*Q325))</f>
        <v/>
      </c>
      <c r="W325" s="10">
        <f>IF(V325="","",V325/N325)</f>
        <v/>
      </c>
      <c r="X325" s="11">
        <f>IF(V325="","",V325/R325)</f>
        <v/>
      </c>
      <c r="Y325" s="8">
        <f>IF(OR($E325="",L325=""),"",IF($E325="LONG",L325-K325,K325-L325))</f>
        <v/>
      </c>
      <c r="AP325" s="7" t="n"/>
    </row>
    <row r="326">
      <c r="H326" s="7" t="n"/>
      <c r="I326" s="7" t="n"/>
      <c r="J326" s="8">
        <f>IF($E326="","",MAX(Settings!$B$7,ROUND(Settings!$B$8*IF($E326="LONG",H326,I326),2)))</f>
        <v/>
      </c>
      <c r="K326" s="8">
        <f>IF($E326="","",IF($E326="LONG",H326+J326,I326-J326))</f>
        <v/>
      </c>
      <c r="L326" s="7" t="n"/>
      <c r="M326" s="8">
        <f>IF($E326="","",IF($E326="LONG",K326-O326,K326+O326))</f>
        <v/>
      </c>
      <c r="N326" s="7" t="n"/>
      <c r="O326" s="8">
        <f>IF(OR($E326="",AP326=""),"",ROUNDUP(ROUND(MAX(IF($E326="LONG",K326-I326,H326-K326),Settings!$B$9*AP326),6),2))</f>
        <v/>
      </c>
      <c r="P326" s="8">
        <f>IF($E326="","",N326*Settings!$B$4)</f>
        <v/>
      </c>
      <c r="Q326" s="9">
        <f>IF(O326="","",MIN(INT(ROUND(P326/O326,6)),INT(ROUND(Settings!$B$5/K326,6))))</f>
        <v/>
      </c>
      <c r="R326" s="8">
        <f>IF(O326="","",Q326*O326)</f>
        <v/>
      </c>
      <c r="S326" s="8">
        <f>IF(O326="","",IF($E326="LONG",K326+Settings!$B$6*O326,K326-Settings!$B$6*O326))</f>
        <v/>
      </c>
      <c r="T326" s="7" t="n"/>
      <c r="V326" s="8">
        <f>IF(OR($E326="",T326=""),"",IF($E326="LONG",(T326-L326)*Q326,(L326-T326)*Q326))</f>
        <v/>
      </c>
      <c r="W326" s="10">
        <f>IF(V326="","",V326/N326)</f>
        <v/>
      </c>
      <c r="X326" s="11">
        <f>IF(V326="","",V326/R326)</f>
        <v/>
      </c>
      <c r="Y326" s="8">
        <f>IF(OR($E326="",L326=""),"",IF($E326="LONG",L326-K326,K326-L326))</f>
        <v/>
      </c>
      <c r="AP326" s="7" t="n"/>
    </row>
    <row r="327">
      <c r="H327" s="7" t="n"/>
      <c r="I327" s="7" t="n"/>
      <c r="J327" s="8">
        <f>IF($E327="","",MAX(Settings!$B$7,ROUND(Settings!$B$8*IF($E327="LONG",H327,I327),2)))</f>
        <v/>
      </c>
      <c r="K327" s="8">
        <f>IF($E327="","",IF($E327="LONG",H327+J327,I327-J327))</f>
        <v/>
      </c>
      <c r="L327" s="7" t="n"/>
      <c r="M327" s="8">
        <f>IF($E327="","",IF($E327="LONG",K327-O327,K327+O327))</f>
        <v/>
      </c>
      <c r="N327" s="7" t="n"/>
      <c r="O327" s="8">
        <f>IF(OR($E327="",AP327=""),"",ROUNDUP(ROUND(MAX(IF($E327="LONG",K327-I327,H327-K327),Settings!$B$9*AP327),6),2))</f>
        <v/>
      </c>
      <c r="P327" s="8">
        <f>IF($E327="","",N327*Settings!$B$4)</f>
        <v/>
      </c>
      <c r="Q327" s="9">
        <f>IF(O327="","",MIN(INT(ROUND(P327/O327,6)),INT(ROUND(Settings!$B$5/K327,6))))</f>
        <v/>
      </c>
      <c r="R327" s="8">
        <f>IF(O327="","",Q327*O327)</f>
        <v/>
      </c>
      <c r="S327" s="8">
        <f>IF(O327="","",IF($E327="LONG",K327+Settings!$B$6*O327,K327-Settings!$B$6*O327))</f>
        <v/>
      </c>
      <c r="T327" s="7" t="n"/>
      <c r="V327" s="8">
        <f>IF(OR($E327="",T327=""),"",IF($E327="LONG",(T327-L327)*Q327,(L327-T327)*Q327))</f>
        <v/>
      </c>
      <c r="W327" s="10">
        <f>IF(V327="","",V327/N327)</f>
        <v/>
      </c>
      <c r="X327" s="11">
        <f>IF(V327="","",V327/R327)</f>
        <v/>
      </c>
      <c r="Y327" s="8">
        <f>IF(OR($E327="",L327=""),"",IF($E327="LONG",L327-K327,K327-L327))</f>
        <v/>
      </c>
      <c r="AP327" s="7" t="n"/>
    </row>
    <row r="328">
      <c r="H328" s="7" t="n"/>
      <c r="I328" s="7" t="n"/>
      <c r="J328" s="8">
        <f>IF($E328="","",MAX(Settings!$B$7,ROUND(Settings!$B$8*IF($E328="LONG",H328,I328),2)))</f>
        <v/>
      </c>
      <c r="K328" s="8">
        <f>IF($E328="","",IF($E328="LONG",H328+J328,I328-J328))</f>
        <v/>
      </c>
      <c r="L328" s="7" t="n"/>
      <c r="M328" s="8">
        <f>IF($E328="","",IF($E328="LONG",K328-O328,K328+O328))</f>
        <v/>
      </c>
      <c r="N328" s="7" t="n"/>
      <c r="O328" s="8">
        <f>IF(OR($E328="",AP328=""),"",ROUNDUP(ROUND(MAX(IF($E328="LONG",K328-I328,H328-K328),Settings!$B$9*AP328),6),2))</f>
        <v/>
      </c>
      <c r="P328" s="8">
        <f>IF($E328="","",N328*Settings!$B$4)</f>
        <v/>
      </c>
      <c r="Q328" s="9">
        <f>IF(O328="","",MIN(INT(ROUND(P328/O328,6)),INT(ROUND(Settings!$B$5/K328,6))))</f>
        <v/>
      </c>
      <c r="R328" s="8">
        <f>IF(O328="","",Q328*O328)</f>
        <v/>
      </c>
      <c r="S328" s="8">
        <f>IF(O328="","",IF($E328="LONG",K328+Settings!$B$6*O328,K328-Settings!$B$6*O328))</f>
        <v/>
      </c>
      <c r="T328" s="7" t="n"/>
      <c r="V328" s="8">
        <f>IF(OR($E328="",T328=""),"",IF($E328="LONG",(T328-L328)*Q328,(L328-T328)*Q328))</f>
        <v/>
      </c>
      <c r="W328" s="10">
        <f>IF(V328="","",V328/N328)</f>
        <v/>
      </c>
      <c r="X328" s="11">
        <f>IF(V328="","",V328/R328)</f>
        <v/>
      </c>
      <c r="Y328" s="8">
        <f>IF(OR($E328="",L328=""),"",IF($E328="LONG",L328-K328,K328-L328))</f>
        <v/>
      </c>
      <c r="AP328" s="7" t="n"/>
    </row>
    <row r="329">
      <c r="H329" s="7" t="n"/>
      <c r="I329" s="7" t="n"/>
      <c r="J329" s="8">
        <f>IF($E329="","",MAX(Settings!$B$7,ROUND(Settings!$B$8*IF($E329="LONG",H329,I329),2)))</f>
        <v/>
      </c>
      <c r="K329" s="8">
        <f>IF($E329="","",IF($E329="LONG",H329+J329,I329-J329))</f>
        <v/>
      </c>
      <c r="L329" s="7" t="n"/>
      <c r="M329" s="8">
        <f>IF($E329="","",IF($E329="LONG",K329-O329,K329+O329))</f>
        <v/>
      </c>
      <c r="N329" s="7" t="n"/>
      <c r="O329" s="8">
        <f>IF(OR($E329="",AP329=""),"",ROUNDUP(ROUND(MAX(IF($E329="LONG",K329-I329,H329-K329),Settings!$B$9*AP329),6),2))</f>
        <v/>
      </c>
      <c r="P329" s="8">
        <f>IF($E329="","",N329*Settings!$B$4)</f>
        <v/>
      </c>
      <c r="Q329" s="9">
        <f>IF(O329="","",MIN(INT(ROUND(P329/O329,6)),INT(ROUND(Settings!$B$5/K329,6))))</f>
        <v/>
      </c>
      <c r="R329" s="8">
        <f>IF(O329="","",Q329*O329)</f>
        <v/>
      </c>
      <c r="S329" s="8">
        <f>IF(O329="","",IF($E329="LONG",K329+Settings!$B$6*O329,K329-Settings!$B$6*O329))</f>
        <v/>
      </c>
      <c r="T329" s="7" t="n"/>
      <c r="V329" s="8">
        <f>IF(OR($E329="",T329=""),"",IF($E329="LONG",(T329-L329)*Q329,(L329-T329)*Q329))</f>
        <v/>
      </c>
      <c r="W329" s="10">
        <f>IF(V329="","",V329/N329)</f>
        <v/>
      </c>
      <c r="X329" s="11">
        <f>IF(V329="","",V329/R329)</f>
        <v/>
      </c>
      <c r="Y329" s="8">
        <f>IF(OR($E329="",L329=""),"",IF($E329="LONG",L329-K329,K329-L329))</f>
        <v/>
      </c>
      <c r="AP329" s="7" t="n"/>
    </row>
    <row r="330">
      <c r="H330" s="7" t="n"/>
      <c r="I330" s="7" t="n"/>
      <c r="J330" s="8">
        <f>IF($E330="","",MAX(Settings!$B$7,ROUND(Settings!$B$8*IF($E330="LONG",H330,I330),2)))</f>
        <v/>
      </c>
      <c r="K330" s="8">
        <f>IF($E330="","",IF($E330="LONG",H330+J330,I330-J330))</f>
        <v/>
      </c>
      <c r="L330" s="7" t="n"/>
      <c r="M330" s="8">
        <f>IF($E330="","",IF($E330="LONG",K330-O330,K330+O330))</f>
        <v/>
      </c>
      <c r="N330" s="7" t="n"/>
      <c r="O330" s="8">
        <f>IF(OR($E330="",AP330=""),"",ROUNDUP(ROUND(MAX(IF($E330="LONG",K330-I330,H330-K330),Settings!$B$9*AP330),6),2))</f>
        <v/>
      </c>
      <c r="P330" s="8">
        <f>IF($E330="","",N330*Settings!$B$4)</f>
        <v/>
      </c>
      <c r="Q330" s="9">
        <f>IF(O330="","",MIN(INT(ROUND(P330/O330,6)),INT(ROUND(Settings!$B$5/K330,6))))</f>
        <v/>
      </c>
      <c r="R330" s="8">
        <f>IF(O330="","",Q330*O330)</f>
        <v/>
      </c>
      <c r="S330" s="8">
        <f>IF(O330="","",IF($E330="LONG",K330+Settings!$B$6*O330,K330-Settings!$B$6*O330))</f>
        <v/>
      </c>
      <c r="T330" s="7" t="n"/>
      <c r="V330" s="8">
        <f>IF(OR($E330="",T330=""),"",IF($E330="LONG",(T330-L330)*Q330,(L330-T330)*Q330))</f>
        <v/>
      </c>
      <c r="W330" s="10">
        <f>IF(V330="","",V330/N330)</f>
        <v/>
      </c>
      <c r="X330" s="11">
        <f>IF(V330="","",V330/R330)</f>
        <v/>
      </c>
      <c r="Y330" s="8">
        <f>IF(OR($E330="",L330=""),"",IF($E330="LONG",L330-K330,K330-L330))</f>
        <v/>
      </c>
      <c r="AP330" s="7" t="n"/>
    </row>
    <row r="331">
      <c r="H331" s="7" t="n"/>
      <c r="I331" s="7" t="n"/>
      <c r="J331" s="8">
        <f>IF($E331="","",MAX(Settings!$B$7,ROUND(Settings!$B$8*IF($E331="LONG",H331,I331),2)))</f>
        <v/>
      </c>
      <c r="K331" s="8">
        <f>IF($E331="","",IF($E331="LONG",H331+J331,I331-J331))</f>
        <v/>
      </c>
      <c r="L331" s="7" t="n"/>
      <c r="M331" s="8">
        <f>IF($E331="","",IF($E331="LONG",K331-O331,K331+O331))</f>
        <v/>
      </c>
      <c r="N331" s="7" t="n"/>
      <c r="O331" s="8">
        <f>IF(OR($E331="",AP331=""),"",ROUNDUP(ROUND(MAX(IF($E331="LONG",K331-I331,H331-K331),Settings!$B$9*AP331),6),2))</f>
        <v/>
      </c>
      <c r="P331" s="8">
        <f>IF($E331="","",N331*Settings!$B$4)</f>
        <v/>
      </c>
      <c r="Q331" s="9">
        <f>IF(O331="","",MIN(INT(ROUND(P331/O331,6)),INT(ROUND(Settings!$B$5/K331,6))))</f>
        <v/>
      </c>
      <c r="R331" s="8">
        <f>IF(O331="","",Q331*O331)</f>
        <v/>
      </c>
      <c r="S331" s="8">
        <f>IF(O331="","",IF($E331="LONG",K331+Settings!$B$6*O331,K331-Settings!$B$6*O331))</f>
        <v/>
      </c>
      <c r="T331" s="7" t="n"/>
      <c r="V331" s="8">
        <f>IF(OR($E331="",T331=""),"",IF($E331="LONG",(T331-L331)*Q331,(L331-T331)*Q331))</f>
        <v/>
      </c>
      <c r="W331" s="10">
        <f>IF(V331="","",V331/N331)</f>
        <v/>
      </c>
      <c r="X331" s="11">
        <f>IF(V331="","",V331/R331)</f>
        <v/>
      </c>
      <c r="Y331" s="8">
        <f>IF(OR($E331="",L331=""),"",IF($E331="LONG",L331-K331,K331-L331))</f>
        <v/>
      </c>
      <c r="AP331" s="7" t="n"/>
    </row>
    <row r="332">
      <c r="H332" s="7" t="n"/>
      <c r="I332" s="7" t="n"/>
      <c r="J332" s="8">
        <f>IF($E332="","",MAX(Settings!$B$7,ROUND(Settings!$B$8*IF($E332="LONG",H332,I332),2)))</f>
        <v/>
      </c>
      <c r="K332" s="8">
        <f>IF($E332="","",IF($E332="LONG",H332+J332,I332-J332))</f>
        <v/>
      </c>
      <c r="L332" s="7" t="n"/>
      <c r="M332" s="8">
        <f>IF($E332="","",IF($E332="LONG",K332-O332,K332+O332))</f>
        <v/>
      </c>
      <c r="N332" s="7" t="n"/>
      <c r="O332" s="8">
        <f>IF(OR($E332="",AP332=""),"",ROUNDUP(ROUND(MAX(IF($E332="LONG",K332-I332,H332-K332),Settings!$B$9*AP332),6),2))</f>
        <v/>
      </c>
      <c r="P332" s="8">
        <f>IF($E332="","",N332*Settings!$B$4)</f>
        <v/>
      </c>
      <c r="Q332" s="9">
        <f>IF(O332="","",MIN(INT(ROUND(P332/O332,6)),INT(ROUND(Settings!$B$5/K332,6))))</f>
        <v/>
      </c>
      <c r="R332" s="8">
        <f>IF(O332="","",Q332*O332)</f>
        <v/>
      </c>
      <c r="S332" s="8">
        <f>IF(O332="","",IF($E332="LONG",K332+Settings!$B$6*O332,K332-Settings!$B$6*O332))</f>
        <v/>
      </c>
      <c r="T332" s="7" t="n"/>
      <c r="V332" s="8">
        <f>IF(OR($E332="",T332=""),"",IF($E332="LONG",(T332-L332)*Q332,(L332-T332)*Q332))</f>
        <v/>
      </c>
      <c r="W332" s="10">
        <f>IF(V332="","",V332/N332)</f>
        <v/>
      </c>
      <c r="X332" s="11">
        <f>IF(V332="","",V332/R332)</f>
        <v/>
      </c>
      <c r="Y332" s="8">
        <f>IF(OR($E332="",L332=""),"",IF($E332="LONG",L332-K332,K332-L332))</f>
        <v/>
      </c>
      <c r="AP332" s="7" t="n"/>
    </row>
    <row r="333">
      <c r="H333" s="7" t="n"/>
      <c r="I333" s="7" t="n"/>
      <c r="J333" s="8">
        <f>IF($E333="","",MAX(Settings!$B$7,ROUND(Settings!$B$8*IF($E333="LONG",H333,I333),2)))</f>
        <v/>
      </c>
      <c r="K333" s="8">
        <f>IF($E333="","",IF($E333="LONG",H333+J333,I333-J333))</f>
        <v/>
      </c>
      <c r="L333" s="7" t="n"/>
      <c r="M333" s="8">
        <f>IF($E333="","",IF($E333="LONG",K333-O333,K333+O333))</f>
        <v/>
      </c>
      <c r="N333" s="7" t="n"/>
      <c r="O333" s="8">
        <f>IF(OR($E333="",AP333=""),"",ROUNDUP(ROUND(MAX(IF($E333="LONG",K333-I333,H333-K333),Settings!$B$9*AP333),6),2))</f>
        <v/>
      </c>
      <c r="P333" s="8">
        <f>IF($E333="","",N333*Settings!$B$4)</f>
        <v/>
      </c>
      <c r="Q333" s="9">
        <f>IF(O333="","",MIN(INT(ROUND(P333/O333,6)),INT(ROUND(Settings!$B$5/K333,6))))</f>
        <v/>
      </c>
      <c r="R333" s="8">
        <f>IF(O333="","",Q333*O333)</f>
        <v/>
      </c>
      <c r="S333" s="8">
        <f>IF(O333="","",IF($E333="LONG",K333+Settings!$B$6*O333,K333-Settings!$B$6*O333))</f>
        <v/>
      </c>
      <c r="T333" s="7" t="n"/>
      <c r="V333" s="8">
        <f>IF(OR($E333="",T333=""),"",IF($E333="LONG",(T333-L333)*Q333,(L333-T333)*Q333))</f>
        <v/>
      </c>
      <c r="W333" s="10">
        <f>IF(V333="","",V333/N333)</f>
        <v/>
      </c>
      <c r="X333" s="11">
        <f>IF(V333="","",V333/R333)</f>
        <v/>
      </c>
      <c r="Y333" s="8">
        <f>IF(OR($E333="",L333=""),"",IF($E333="LONG",L333-K333,K333-L333))</f>
        <v/>
      </c>
      <c r="AP333" s="7" t="n"/>
    </row>
    <row r="334">
      <c r="H334" s="7" t="n"/>
      <c r="I334" s="7" t="n"/>
      <c r="J334" s="8">
        <f>IF($E334="","",MAX(Settings!$B$7,ROUND(Settings!$B$8*IF($E334="LONG",H334,I334),2)))</f>
        <v/>
      </c>
      <c r="K334" s="8">
        <f>IF($E334="","",IF($E334="LONG",H334+J334,I334-J334))</f>
        <v/>
      </c>
      <c r="L334" s="7" t="n"/>
      <c r="M334" s="8">
        <f>IF($E334="","",IF($E334="LONG",K334-O334,K334+O334))</f>
        <v/>
      </c>
      <c r="N334" s="7" t="n"/>
      <c r="O334" s="8">
        <f>IF(OR($E334="",AP334=""),"",ROUNDUP(ROUND(MAX(IF($E334="LONG",K334-I334,H334-K334),Settings!$B$9*AP334),6),2))</f>
        <v/>
      </c>
      <c r="P334" s="8">
        <f>IF($E334="","",N334*Settings!$B$4)</f>
        <v/>
      </c>
      <c r="Q334" s="9">
        <f>IF(O334="","",MIN(INT(ROUND(P334/O334,6)),INT(ROUND(Settings!$B$5/K334,6))))</f>
        <v/>
      </c>
      <c r="R334" s="8">
        <f>IF(O334="","",Q334*O334)</f>
        <v/>
      </c>
      <c r="S334" s="8">
        <f>IF(O334="","",IF($E334="LONG",K334+Settings!$B$6*O334,K334-Settings!$B$6*O334))</f>
        <v/>
      </c>
      <c r="T334" s="7" t="n"/>
      <c r="V334" s="8">
        <f>IF(OR($E334="",T334=""),"",IF($E334="LONG",(T334-L334)*Q334,(L334-T334)*Q334))</f>
        <v/>
      </c>
      <c r="W334" s="10">
        <f>IF(V334="","",V334/N334)</f>
        <v/>
      </c>
      <c r="X334" s="11">
        <f>IF(V334="","",V334/R334)</f>
        <v/>
      </c>
      <c r="Y334" s="8">
        <f>IF(OR($E334="",L334=""),"",IF($E334="LONG",L334-K334,K334-L334))</f>
        <v/>
      </c>
      <c r="AP334" s="7" t="n"/>
    </row>
    <row r="335">
      <c r="H335" s="7" t="n"/>
      <c r="I335" s="7" t="n"/>
      <c r="J335" s="8">
        <f>IF($E335="","",MAX(Settings!$B$7,ROUND(Settings!$B$8*IF($E335="LONG",H335,I335),2)))</f>
        <v/>
      </c>
      <c r="K335" s="8">
        <f>IF($E335="","",IF($E335="LONG",H335+J335,I335-J335))</f>
        <v/>
      </c>
      <c r="L335" s="7" t="n"/>
      <c r="M335" s="8">
        <f>IF($E335="","",IF($E335="LONG",K335-O335,K335+O335))</f>
        <v/>
      </c>
      <c r="N335" s="7" t="n"/>
      <c r="O335" s="8">
        <f>IF(OR($E335="",AP335=""),"",ROUNDUP(ROUND(MAX(IF($E335="LONG",K335-I335,H335-K335),Settings!$B$9*AP335),6),2))</f>
        <v/>
      </c>
      <c r="P335" s="8">
        <f>IF($E335="","",N335*Settings!$B$4)</f>
        <v/>
      </c>
      <c r="Q335" s="9">
        <f>IF(O335="","",MIN(INT(ROUND(P335/O335,6)),INT(ROUND(Settings!$B$5/K335,6))))</f>
        <v/>
      </c>
      <c r="R335" s="8">
        <f>IF(O335="","",Q335*O335)</f>
        <v/>
      </c>
      <c r="S335" s="8">
        <f>IF(O335="","",IF($E335="LONG",K335+Settings!$B$6*O335,K335-Settings!$B$6*O335))</f>
        <v/>
      </c>
      <c r="T335" s="7" t="n"/>
      <c r="V335" s="8">
        <f>IF(OR($E335="",T335=""),"",IF($E335="LONG",(T335-L335)*Q335,(L335-T335)*Q335))</f>
        <v/>
      </c>
      <c r="W335" s="10">
        <f>IF(V335="","",V335/N335)</f>
        <v/>
      </c>
      <c r="X335" s="11">
        <f>IF(V335="","",V335/R335)</f>
        <v/>
      </c>
      <c r="Y335" s="8">
        <f>IF(OR($E335="",L335=""),"",IF($E335="LONG",L335-K335,K335-L335))</f>
        <v/>
      </c>
      <c r="AP335" s="7" t="n"/>
    </row>
    <row r="336">
      <c r="H336" s="7" t="n"/>
      <c r="I336" s="7" t="n"/>
      <c r="J336" s="8">
        <f>IF($E336="","",MAX(Settings!$B$7,ROUND(Settings!$B$8*IF($E336="LONG",H336,I336),2)))</f>
        <v/>
      </c>
      <c r="K336" s="8">
        <f>IF($E336="","",IF($E336="LONG",H336+J336,I336-J336))</f>
        <v/>
      </c>
      <c r="L336" s="7" t="n"/>
      <c r="M336" s="8">
        <f>IF($E336="","",IF($E336="LONG",K336-O336,K336+O336))</f>
        <v/>
      </c>
      <c r="N336" s="7" t="n"/>
      <c r="O336" s="8">
        <f>IF(OR($E336="",AP336=""),"",ROUNDUP(ROUND(MAX(IF($E336="LONG",K336-I336,H336-K336),Settings!$B$9*AP336),6),2))</f>
        <v/>
      </c>
      <c r="P336" s="8">
        <f>IF($E336="","",N336*Settings!$B$4)</f>
        <v/>
      </c>
      <c r="Q336" s="9">
        <f>IF(O336="","",MIN(INT(ROUND(P336/O336,6)),INT(ROUND(Settings!$B$5/K336,6))))</f>
        <v/>
      </c>
      <c r="R336" s="8">
        <f>IF(O336="","",Q336*O336)</f>
        <v/>
      </c>
      <c r="S336" s="8">
        <f>IF(O336="","",IF($E336="LONG",K336+Settings!$B$6*O336,K336-Settings!$B$6*O336))</f>
        <v/>
      </c>
      <c r="T336" s="7" t="n"/>
      <c r="V336" s="8">
        <f>IF(OR($E336="",T336=""),"",IF($E336="LONG",(T336-L336)*Q336,(L336-T336)*Q336))</f>
        <v/>
      </c>
      <c r="W336" s="10">
        <f>IF(V336="","",V336/N336)</f>
        <v/>
      </c>
      <c r="X336" s="11">
        <f>IF(V336="","",V336/R336)</f>
        <v/>
      </c>
      <c r="Y336" s="8">
        <f>IF(OR($E336="",L336=""),"",IF($E336="LONG",L336-K336,K336-L336))</f>
        <v/>
      </c>
      <c r="AP336" s="7" t="n"/>
    </row>
    <row r="337">
      <c r="H337" s="7" t="n"/>
      <c r="I337" s="7" t="n"/>
      <c r="J337" s="8">
        <f>IF($E337="","",MAX(Settings!$B$7,ROUND(Settings!$B$8*IF($E337="LONG",H337,I337),2)))</f>
        <v/>
      </c>
      <c r="K337" s="8">
        <f>IF($E337="","",IF($E337="LONG",H337+J337,I337-J337))</f>
        <v/>
      </c>
      <c r="L337" s="7" t="n"/>
      <c r="M337" s="8">
        <f>IF($E337="","",IF($E337="LONG",K337-O337,K337+O337))</f>
        <v/>
      </c>
      <c r="N337" s="7" t="n"/>
      <c r="O337" s="8">
        <f>IF(OR($E337="",AP337=""),"",ROUNDUP(ROUND(MAX(IF($E337="LONG",K337-I337,H337-K337),Settings!$B$9*AP337),6),2))</f>
        <v/>
      </c>
      <c r="P337" s="8">
        <f>IF($E337="","",N337*Settings!$B$4)</f>
        <v/>
      </c>
      <c r="Q337" s="9">
        <f>IF(O337="","",MIN(INT(ROUND(P337/O337,6)),INT(ROUND(Settings!$B$5/K337,6))))</f>
        <v/>
      </c>
      <c r="R337" s="8">
        <f>IF(O337="","",Q337*O337)</f>
        <v/>
      </c>
      <c r="S337" s="8">
        <f>IF(O337="","",IF($E337="LONG",K337+Settings!$B$6*O337,K337-Settings!$B$6*O337))</f>
        <v/>
      </c>
      <c r="T337" s="7" t="n"/>
      <c r="V337" s="8">
        <f>IF(OR($E337="",T337=""),"",IF($E337="LONG",(T337-L337)*Q337,(L337-T337)*Q337))</f>
        <v/>
      </c>
      <c r="W337" s="10">
        <f>IF(V337="","",V337/N337)</f>
        <v/>
      </c>
      <c r="X337" s="11">
        <f>IF(V337="","",V337/R337)</f>
        <v/>
      </c>
      <c r="Y337" s="8">
        <f>IF(OR($E337="",L337=""),"",IF($E337="LONG",L337-K337,K337-L337))</f>
        <v/>
      </c>
      <c r="AP337" s="7" t="n"/>
    </row>
    <row r="338">
      <c r="H338" s="7" t="n"/>
      <c r="I338" s="7" t="n"/>
      <c r="J338" s="8">
        <f>IF($E338="","",MAX(Settings!$B$7,ROUND(Settings!$B$8*IF($E338="LONG",H338,I338),2)))</f>
        <v/>
      </c>
      <c r="K338" s="8">
        <f>IF($E338="","",IF($E338="LONG",H338+J338,I338-J338))</f>
        <v/>
      </c>
      <c r="L338" s="7" t="n"/>
      <c r="M338" s="8">
        <f>IF($E338="","",IF($E338="LONG",K338-O338,K338+O338))</f>
        <v/>
      </c>
      <c r="N338" s="7" t="n"/>
      <c r="O338" s="8">
        <f>IF(OR($E338="",AP338=""),"",ROUNDUP(ROUND(MAX(IF($E338="LONG",K338-I338,H338-K338),Settings!$B$9*AP338),6),2))</f>
        <v/>
      </c>
      <c r="P338" s="8">
        <f>IF($E338="","",N338*Settings!$B$4)</f>
        <v/>
      </c>
      <c r="Q338" s="9">
        <f>IF(O338="","",MIN(INT(ROUND(P338/O338,6)),INT(ROUND(Settings!$B$5/K338,6))))</f>
        <v/>
      </c>
      <c r="R338" s="8">
        <f>IF(O338="","",Q338*O338)</f>
        <v/>
      </c>
      <c r="S338" s="8">
        <f>IF(O338="","",IF($E338="LONG",K338+Settings!$B$6*O338,K338-Settings!$B$6*O338))</f>
        <v/>
      </c>
      <c r="T338" s="7" t="n"/>
      <c r="V338" s="8">
        <f>IF(OR($E338="",T338=""),"",IF($E338="LONG",(T338-L338)*Q338,(L338-T338)*Q338))</f>
        <v/>
      </c>
      <c r="W338" s="10">
        <f>IF(V338="","",V338/N338)</f>
        <v/>
      </c>
      <c r="X338" s="11">
        <f>IF(V338="","",V338/R338)</f>
        <v/>
      </c>
      <c r="Y338" s="8">
        <f>IF(OR($E338="",L338=""),"",IF($E338="LONG",L338-K338,K338-L338))</f>
        <v/>
      </c>
      <c r="AP338" s="7" t="n"/>
    </row>
    <row r="339">
      <c r="H339" s="7" t="n"/>
      <c r="I339" s="7" t="n"/>
      <c r="J339" s="8">
        <f>IF($E339="","",MAX(Settings!$B$7,ROUND(Settings!$B$8*IF($E339="LONG",H339,I339),2)))</f>
        <v/>
      </c>
      <c r="K339" s="8">
        <f>IF($E339="","",IF($E339="LONG",H339+J339,I339-J339))</f>
        <v/>
      </c>
      <c r="L339" s="7" t="n"/>
      <c r="M339" s="8">
        <f>IF($E339="","",IF($E339="LONG",K339-O339,K339+O339))</f>
        <v/>
      </c>
      <c r="N339" s="7" t="n"/>
      <c r="O339" s="8">
        <f>IF(OR($E339="",AP339=""),"",ROUNDUP(ROUND(MAX(IF($E339="LONG",K339-I339,H339-K339),Settings!$B$9*AP339),6),2))</f>
        <v/>
      </c>
      <c r="P339" s="8">
        <f>IF($E339="","",N339*Settings!$B$4)</f>
        <v/>
      </c>
      <c r="Q339" s="9">
        <f>IF(O339="","",MIN(INT(ROUND(P339/O339,6)),INT(ROUND(Settings!$B$5/K339,6))))</f>
        <v/>
      </c>
      <c r="R339" s="8">
        <f>IF(O339="","",Q339*O339)</f>
        <v/>
      </c>
      <c r="S339" s="8">
        <f>IF(O339="","",IF($E339="LONG",K339+Settings!$B$6*O339,K339-Settings!$B$6*O339))</f>
        <v/>
      </c>
      <c r="T339" s="7" t="n"/>
      <c r="V339" s="8">
        <f>IF(OR($E339="",T339=""),"",IF($E339="LONG",(T339-L339)*Q339,(L339-T339)*Q339))</f>
        <v/>
      </c>
      <c r="W339" s="10">
        <f>IF(V339="","",V339/N339)</f>
        <v/>
      </c>
      <c r="X339" s="11">
        <f>IF(V339="","",V339/R339)</f>
        <v/>
      </c>
      <c r="Y339" s="8">
        <f>IF(OR($E339="",L339=""),"",IF($E339="LONG",L339-K339,K339-L339))</f>
        <v/>
      </c>
      <c r="AP339" s="7" t="n"/>
    </row>
    <row r="340">
      <c r="H340" s="7" t="n"/>
      <c r="I340" s="7" t="n"/>
      <c r="J340" s="8">
        <f>IF($E340="","",MAX(Settings!$B$7,ROUND(Settings!$B$8*IF($E340="LONG",H340,I340),2)))</f>
        <v/>
      </c>
      <c r="K340" s="8">
        <f>IF($E340="","",IF($E340="LONG",H340+J340,I340-J340))</f>
        <v/>
      </c>
      <c r="L340" s="7" t="n"/>
      <c r="M340" s="8">
        <f>IF($E340="","",IF($E340="LONG",K340-O340,K340+O340))</f>
        <v/>
      </c>
      <c r="N340" s="7" t="n"/>
      <c r="O340" s="8">
        <f>IF(OR($E340="",AP340=""),"",ROUNDUP(ROUND(MAX(IF($E340="LONG",K340-I340,H340-K340),Settings!$B$9*AP340),6),2))</f>
        <v/>
      </c>
      <c r="P340" s="8">
        <f>IF($E340="","",N340*Settings!$B$4)</f>
        <v/>
      </c>
      <c r="Q340" s="9">
        <f>IF(O340="","",MIN(INT(ROUND(P340/O340,6)),INT(ROUND(Settings!$B$5/K340,6))))</f>
        <v/>
      </c>
      <c r="R340" s="8">
        <f>IF(O340="","",Q340*O340)</f>
        <v/>
      </c>
      <c r="S340" s="8">
        <f>IF(O340="","",IF($E340="LONG",K340+Settings!$B$6*O340,K340-Settings!$B$6*O340))</f>
        <v/>
      </c>
      <c r="T340" s="7" t="n"/>
      <c r="V340" s="8">
        <f>IF(OR($E340="",T340=""),"",IF($E340="LONG",(T340-L340)*Q340,(L340-T340)*Q340))</f>
        <v/>
      </c>
      <c r="W340" s="10">
        <f>IF(V340="","",V340/N340)</f>
        <v/>
      </c>
      <c r="X340" s="11">
        <f>IF(V340="","",V340/R340)</f>
        <v/>
      </c>
      <c r="Y340" s="8">
        <f>IF(OR($E340="",L340=""),"",IF($E340="LONG",L340-K340,K340-L340))</f>
        <v/>
      </c>
      <c r="AP340" s="7" t="n"/>
    </row>
    <row r="341">
      <c r="H341" s="7" t="n"/>
      <c r="I341" s="7" t="n"/>
      <c r="J341" s="8">
        <f>IF($E341="","",MAX(Settings!$B$7,ROUND(Settings!$B$8*IF($E341="LONG",H341,I341),2)))</f>
        <v/>
      </c>
      <c r="K341" s="8">
        <f>IF($E341="","",IF($E341="LONG",H341+J341,I341-J341))</f>
        <v/>
      </c>
      <c r="L341" s="7" t="n"/>
      <c r="M341" s="8">
        <f>IF($E341="","",IF($E341="LONG",K341-O341,K341+O341))</f>
        <v/>
      </c>
      <c r="N341" s="7" t="n"/>
      <c r="O341" s="8">
        <f>IF(OR($E341="",AP341=""),"",ROUNDUP(ROUND(MAX(IF($E341="LONG",K341-I341,H341-K341),Settings!$B$9*AP341),6),2))</f>
        <v/>
      </c>
      <c r="P341" s="8">
        <f>IF($E341="","",N341*Settings!$B$4)</f>
        <v/>
      </c>
      <c r="Q341" s="9">
        <f>IF(O341="","",MIN(INT(ROUND(P341/O341,6)),INT(ROUND(Settings!$B$5/K341,6))))</f>
        <v/>
      </c>
      <c r="R341" s="8">
        <f>IF(O341="","",Q341*O341)</f>
        <v/>
      </c>
      <c r="S341" s="8">
        <f>IF(O341="","",IF($E341="LONG",K341+Settings!$B$6*O341,K341-Settings!$B$6*O341))</f>
        <v/>
      </c>
      <c r="T341" s="7" t="n"/>
      <c r="V341" s="8">
        <f>IF(OR($E341="",T341=""),"",IF($E341="LONG",(T341-L341)*Q341,(L341-T341)*Q341))</f>
        <v/>
      </c>
      <c r="W341" s="10">
        <f>IF(V341="","",V341/N341)</f>
        <v/>
      </c>
      <c r="X341" s="11">
        <f>IF(V341="","",V341/R341)</f>
        <v/>
      </c>
      <c r="Y341" s="8">
        <f>IF(OR($E341="",L341=""),"",IF($E341="LONG",L341-K341,K341-L341))</f>
        <v/>
      </c>
      <c r="AP341" s="7" t="n"/>
    </row>
    <row r="342">
      <c r="H342" s="7" t="n"/>
      <c r="I342" s="7" t="n"/>
      <c r="J342" s="8">
        <f>IF($E342="","",MAX(Settings!$B$7,ROUND(Settings!$B$8*IF($E342="LONG",H342,I342),2)))</f>
        <v/>
      </c>
      <c r="K342" s="8">
        <f>IF($E342="","",IF($E342="LONG",H342+J342,I342-J342))</f>
        <v/>
      </c>
      <c r="L342" s="7" t="n"/>
      <c r="M342" s="8">
        <f>IF($E342="","",IF($E342="LONG",K342-O342,K342+O342))</f>
        <v/>
      </c>
      <c r="N342" s="7" t="n"/>
      <c r="O342" s="8">
        <f>IF(OR($E342="",AP342=""),"",ROUNDUP(ROUND(MAX(IF($E342="LONG",K342-I342,H342-K342),Settings!$B$9*AP342),6),2))</f>
        <v/>
      </c>
      <c r="P342" s="8">
        <f>IF($E342="","",N342*Settings!$B$4)</f>
        <v/>
      </c>
      <c r="Q342" s="9">
        <f>IF(O342="","",MIN(INT(ROUND(P342/O342,6)),INT(ROUND(Settings!$B$5/K342,6))))</f>
        <v/>
      </c>
      <c r="R342" s="8">
        <f>IF(O342="","",Q342*O342)</f>
        <v/>
      </c>
      <c r="S342" s="8">
        <f>IF(O342="","",IF($E342="LONG",K342+Settings!$B$6*O342,K342-Settings!$B$6*O342))</f>
        <v/>
      </c>
      <c r="T342" s="7" t="n"/>
      <c r="V342" s="8">
        <f>IF(OR($E342="",T342=""),"",IF($E342="LONG",(T342-L342)*Q342,(L342-T342)*Q342))</f>
        <v/>
      </c>
      <c r="W342" s="10">
        <f>IF(V342="","",V342/N342)</f>
        <v/>
      </c>
      <c r="X342" s="11">
        <f>IF(V342="","",V342/R342)</f>
        <v/>
      </c>
      <c r="Y342" s="8">
        <f>IF(OR($E342="",L342=""),"",IF($E342="LONG",L342-K342,K342-L342))</f>
        <v/>
      </c>
      <c r="AP342" s="7" t="n"/>
    </row>
    <row r="343">
      <c r="H343" s="7" t="n"/>
      <c r="I343" s="7" t="n"/>
      <c r="J343" s="8">
        <f>IF($E343="","",MAX(Settings!$B$7,ROUND(Settings!$B$8*IF($E343="LONG",H343,I343),2)))</f>
        <v/>
      </c>
      <c r="K343" s="8">
        <f>IF($E343="","",IF($E343="LONG",H343+J343,I343-J343))</f>
        <v/>
      </c>
      <c r="L343" s="7" t="n"/>
      <c r="M343" s="8">
        <f>IF($E343="","",IF($E343="LONG",K343-O343,K343+O343))</f>
        <v/>
      </c>
      <c r="N343" s="7" t="n"/>
      <c r="O343" s="8">
        <f>IF(OR($E343="",AP343=""),"",ROUNDUP(ROUND(MAX(IF($E343="LONG",K343-I343,H343-K343),Settings!$B$9*AP343),6),2))</f>
        <v/>
      </c>
      <c r="P343" s="8">
        <f>IF($E343="","",N343*Settings!$B$4)</f>
        <v/>
      </c>
      <c r="Q343" s="9">
        <f>IF(O343="","",MIN(INT(ROUND(P343/O343,6)),INT(ROUND(Settings!$B$5/K343,6))))</f>
        <v/>
      </c>
      <c r="R343" s="8">
        <f>IF(O343="","",Q343*O343)</f>
        <v/>
      </c>
      <c r="S343" s="8">
        <f>IF(O343="","",IF($E343="LONG",K343+Settings!$B$6*O343,K343-Settings!$B$6*O343))</f>
        <v/>
      </c>
      <c r="T343" s="7" t="n"/>
      <c r="V343" s="8">
        <f>IF(OR($E343="",T343=""),"",IF($E343="LONG",(T343-L343)*Q343,(L343-T343)*Q343))</f>
        <v/>
      </c>
      <c r="W343" s="10">
        <f>IF(V343="","",V343/N343)</f>
        <v/>
      </c>
      <c r="X343" s="11">
        <f>IF(V343="","",V343/R343)</f>
        <v/>
      </c>
      <c r="Y343" s="8">
        <f>IF(OR($E343="",L343=""),"",IF($E343="LONG",L343-K343,K343-L343))</f>
        <v/>
      </c>
      <c r="AP343" s="7" t="n"/>
    </row>
    <row r="344">
      <c r="H344" s="7" t="n"/>
      <c r="I344" s="7" t="n"/>
      <c r="J344" s="8">
        <f>IF($E344="","",MAX(Settings!$B$7,ROUND(Settings!$B$8*IF($E344="LONG",H344,I344),2)))</f>
        <v/>
      </c>
      <c r="K344" s="8">
        <f>IF($E344="","",IF($E344="LONG",H344+J344,I344-J344))</f>
        <v/>
      </c>
      <c r="L344" s="7" t="n"/>
      <c r="M344" s="8">
        <f>IF($E344="","",IF($E344="LONG",K344-O344,K344+O344))</f>
        <v/>
      </c>
      <c r="N344" s="7" t="n"/>
      <c r="O344" s="8">
        <f>IF(OR($E344="",AP344=""),"",ROUNDUP(ROUND(MAX(IF($E344="LONG",K344-I344,H344-K344),Settings!$B$9*AP344),6),2))</f>
        <v/>
      </c>
      <c r="P344" s="8">
        <f>IF($E344="","",N344*Settings!$B$4)</f>
        <v/>
      </c>
      <c r="Q344" s="9">
        <f>IF(O344="","",MIN(INT(ROUND(P344/O344,6)),INT(ROUND(Settings!$B$5/K344,6))))</f>
        <v/>
      </c>
      <c r="R344" s="8">
        <f>IF(O344="","",Q344*O344)</f>
        <v/>
      </c>
      <c r="S344" s="8">
        <f>IF(O344="","",IF($E344="LONG",K344+Settings!$B$6*O344,K344-Settings!$B$6*O344))</f>
        <v/>
      </c>
      <c r="T344" s="7" t="n"/>
      <c r="V344" s="8">
        <f>IF(OR($E344="",T344=""),"",IF($E344="LONG",(T344-L344)*Q344,(L344-T344)*Q344))</f>
        <v/>
      </c>
      <c r="W344" s="10">
        <f>IF(V344="","",V344/N344)</f>
        <v/>
      </c>
      <c r="X344" s="11">
        <f>IF(V344="","",V344/R344)</f>
        <v/>
      </c>
      <c r="Y344" s="8">
        <f>IF(OR($E344="",L344=""),"",IF($E344="LONG",L344-K344,K344-L344))</f>
        <v/>
      </c>
      <c r="AP344" s="7" t="n"/>
    </row>
    <row r="345">
      <c r="H345" s="7" t="n"/>
      <c r="I345" s="7" t="n"/>
      <c r="J345" s="8">
        <f>IF($E345="","",MAX(Settings!$B$7,ROUND(Settings!$B$8*IF($E345="LONG",H345,I345),2)))</f>
        <v/>
      </c>
      <c r="K345" s="8">
        <f>IF($E345="","",IF($E345="LONG",H345+J345,I345-J345))</f>
        <v/>
      </c>
      <c r="L345" s="7" t="n"/>
      <c r="M345" s="8">
        <f>IF($E345="","",IF($E345="LONG",K345-O345,K345+O345))</f>
        <v/>
      </c>
      <c r="N345" s="7" t="n"/>
      <c r="O345" s="8">
        <f>IF(OR($E345="",AP345=""),"",ROUNDUP(ROUND(MAX(IF($E345="LONG",K345-I345,H345-K345),Settings!$B$9*AP345),6),2))</f>
        <v/>
      </c>
      <c r="P345" s="8">
        <f>IF($E345="","",N345*Settings!$B$4)</f>
        <v/>
      </c>
      <c r="Q345" s="9">
        <f>IF(O345="","",MIN(INT(ROUND(P345/O345,6)),INT(ROUND(Settings!$B$5/K345,6))))</f>
        <v/>
      </c>
      <c r="R345" s="8">
        <f>IF(O345="","",Q345*O345)</f>
        <v/>
      </c>
      <c r="S345" s="8">
        <f>IF(O345="","",IF($E345="LONG",K345+Settings!$B$6*O345,K345-Settings!$B$6*O345))</f>
        <v/>
      </c>
      <c r="T345" s="7" t="n"/>
      <c r="V345" s="8">
        <f>IF(OR($E345="",T345=""),"",IF($E345="LONG",(T345-L345)*Q345,(L345-T345)*Q345))</f>
        <v/>
      </c>
      <c r="W345" s="10">
        <f>IF(V345="","",V345/N345)</f>
        <v/>
      </c>
      <c r="X345" s="11">
        <f>IF(V345="","",V345/R345)</f>
        <v/>
      </c>
      <c r="Y345" s="8">
        <f>IF(OR($E345="",L345=""),"",IF($E345="LONG",L345-K345,K345-L345))</f>
        <v/>
      </c>
      <c r="AP345" s="7" t="n"/>
    </row>
    <row r="346">
      <c r="H346" s="7" t="n"/>
      <c r="I346" s="7" t="n"/>
      <c r="J346" s="8">
        <f>IF($E346="","",MAX(Settings!$B$7,ROUND(Settings!$B$8*IF($E346="LONG",H346,I346),2)))</f>
        <v/>
      </c>
      <c r="K346" s="8">
        <f>IF($E346="","",IF($E346="LONG",H346+J346,I346-J346))</f>
        <v/>
      </c>
      <c r="L346" s="7" t="n"/>
      <c r="M346" s="8">
        <f>IF($E346="","",IF($E346="LONG",K346-O346,K346+O346))</f>
        <v/>
      </c>
      <c r="N346" s="7" t="n"/>
      <c r="O346" s="8">
        <f>IF(OR($E346="",AP346=""),"",ROUNDUP(ROUND(MAX(IF($E346="LONG",K346-I346,H346-K346),Settings!$B$9*AP346),6),2))</f>
        <v/>
      </c>
      <c r="P346" s="8">
        <f>IF($E346="","",N346*Settings!$B$4)</f>
        <v/>
      </c>
      <c r="Q346" s="9">
        <f>IF(O346="","",MIN(INT(ROUND(P346/O346,6)),INT(ROUND(Settings!$B$5/K346,6))))</f>
        <v/>
      </c>
      <c r="R346" s="8">
        <f>IF(O346="","",Q346*O346)</f>
        <v/>
      </c>
      <c r="S346" s="8">
        <f>IF(O346="","",IF($E346="LONG",K346+Settings!$B$6*O346,K346-Settings!$B$6*O346))</f>
        <v/>
      </c>
      <c r="T346" s="7" t="n"/>
      <c r="V346" s="8">
        <f>IF(OR($E346="",T346=""),"",IF($E346="LONG",(T346-L346)*Q346,(L346-T346)*Q346))</f>
        <v/>
      </c>
      <c r="W346" s="10">
        <f>IF(V346="","",V346/N346)</f>
        <v/>
      </c>
      <c r="X346" s="11">
        <f>IF(V346="","",V346/R346)</f>
        <v/>
      </c>
      <c r="Y346" s="8">
        <f>IF(OR($E346="",L346=""),"",IF($E346="LONG",L346-K346,K346-L346))</f>
        <v/>
      </c>
      <c r="AP346" s="7" t="n"/>
    </row>
    <row r="347">
      <c r="H347" s="7" t="n"/>
      <c r="I347" s="7" t="n"/>
      <c r="J347" s="8">
        <f>IF($E347="","",MAX(Settings!$B$7,ROUND(Settings!$B$8*IF($E347="LONG",H347,I347),2)))</f>
        <v/>
      </c>
      <c r="K347" s="8">
        <f>IF($E347="","",IF($E347="LONG",H347+J347,I347-J347))</f>
        <v/>
      </c>
      <c r="L347" s="7" t="n"/>
      <c r="M347" s="8">
        <f>IF($E347="","",IF($E347="LONG",K347-O347,K347+O347))</f>
        <v/>
      </c>
      <c r="N347" s="7" t="n"/>
      <c r="O347" s="8">
        <f>IF(OR($E347="",AP347=""),"",ROUNDUP(ROUND(MAX(IF($E347="LONG",K347-I347,H347-K347),Settings!$B$9*AP347),6),2))</f>
        <v/>
      </c>
      <c r="P347" s="8">
        <f>IF($E347="","",N347*Settings!$B$4)</f>
        <v/>
      </c>
      <c r="Q347" s="9">
        <f>IF(O347="","",MIN(INT(ROUND(P347/O347,6)),INT(ROUND(Settings!$B$5/K347,6))))</f>
        <v/>
      </c>
      <c r="R347" s="8">
        <f>IF(O347="","",Q347*O347)</f>
        <v/>
      </c>
      <c r="S347" s="8">
        <f>IF(O347="","",IF($E347="LONG",K347+Settings!$B$6*O347,K347-Settings!$B$6*O347))</f>
        <v/>
      </c>
      <c r="T347" s="7" t="n"/>
      <c r="V347" s="8">
        <f>IF(OR($E347="",T347=""),"",IF($E347="LONG",(T347-L347)*Q347,(L347-T347)*Q347))</f>
        <v/>
      </c>
      <c r="W347" s="10">
        <f>IF(V347="","",V347/N347)</f>
        <v/>
      </c>
      <c r="X347" s="11">
        <f>IF(V347="","",V347/R347)</f>
        <v/>
      </c>
      <c r="Y347" s="8">
        <f>IF(OR($E347="",L347=""),"",IF($E347="LONG",L347-K347,K347-L347))</f>
        <v/>
      </c>
      <c r="AP347" s="7" t="n"/>
    </row>
    <row r="348">
      <c r="H348" s="7" t="n"/>
      <c r="I348" s="7" t="n"/>
      <c r="J348" s="8">
        <f>IF($E348="","",MAX(Settings!$B$7,ROUND(Settings!$B$8*IF($E348="LONG",H348,I348),2)))</f>
        <v/>
      </c>
      <c r="K348" s="8">
        <f>IF($E348="","",IF($E348="LONG",H348+J348,I348-J348))</f>
        <v/>
      </c>
      <c r="L348" s="7" t="n"/>
      <c r="M348" s="8">
        <f>IF($E348="","",IF($E348="LONG",K348-O348,K348+O348))</f>
        <v/>
      </c>
      <c r="N348" s="7" t="n"/>
      <c r="O348" s="8">
        <f>IF(OR($E348="",AP348=""),"",ROUNDUP(ROUND(MAX(IF($E348="LONG",K348-I348,H348-K348),Settings!$B$9*AP348),6),2))</f>
        <v/>
      </c>
      <c r="P348" s="8">
        <f>IF($E348="","",N348*Settings!$B$4)</f>
        <v/>
      </c>
      <c r="Q348" s="9">
        <f>IF(O348="","",MIN(INT(ROUND(P348/O348,6)),INT(ROUND(Settings!$B$5/K348,6))))</f>
        <v/>
      </c>
      <c r="R348" s="8">
        <f>IF(O348="","",Q348*O348)</f>
        <v/>
      </c>
      <c r="S348" s="8">
        <f>IF(O348="","",IF($E348="LONG",K348+Settings!$B$6*O348,K348-Settings!$B$6*O348))</f>
        <v/>
      </c>
      <c r="T348" s="7" t="n"/>
      <c r="V348" s="8">
        <f>IF(OR($E348="",T348=""),"",IF($E348="LONG",(T348-L348)*Q348,(L348-T348)*Q348))</f>
        <v/>
      </c>
      <c r="W348" s="10">
        <f>IF(V348="","",V348/N348)</f>
        <v/>
      </c>
      <c r="X348" s="11">
        <f>IF(V348="","",V348/R348)</f>
        <v/>
      </c>
      <c r="Y348" s="8">
        <f>IF(OR($E348="",L348=""),"",IF($E348="LONG",L348-K348,K348-L348))</f>
        <v/>
      </c>
      <c r="AP348" s="7" t="n"/>
    </row>
    <row r="349">
      <c r="H349" s="7" t="n"/>
      <c r="I349" s="7" t="n"/>
      <c r="J349" s="8">
        <f>IF($E349="","",MAX(Settings!$B$7,ROUND(Settings!$B$8*IF($E349="LONG",H349,I349),2)))</f>
        <v/>
      </c>
      <c r="K349" s="8">
        <f>IF($E349="","",IF($E349="LONG",H349+J349,I349-J349))</f>
        <v/>
      </c>
      <c r="L349" s="7" t="n"/>
      <c r="M349" s="8">
        <f>IF($E349="","",IF($E349="LONG",K349-O349,K349+O349))</f>
        <v/>
      </c>
      <c r="N349" s="7" t="n"/>
      <c r="O349" s="8">
        <f>IF(OR($E349="",AP349=""),"",ROUNDUP(ROUND(MAX(IF($E349="LONG",K349-I349,H349-K349),Settings!$B$9*AP349),6),2))</f>
        <v/>
      </c>
      <c r="P349" s="8">
        <f>IF($E349="","",N349*Settings!$B$4)</f>
        <v/>
      </c>
      <c r="Q349" s="9">
        <f>IF(O349="","",MIN(INT(ROUND(P349/O349,6)),INT(ROUND(Settings!$B$5/K349,6))))</f>
        <v/>
      </c>
      <c r="R349" s="8">
        <f>IF(O349="","",Q349*O349)</f>
        <v/>
      </c>
      <c r="S349" s="8">
        <f>IF(O349="","",IF($E349="LONG",K349+Settings!$B$6*O349,K349-Settings!$B$6*O349))</f>
        <v/>
      </c>
      <c r="T349" s="7" t="n"/>
      <c r="V349" s="8">
        <f>IF(OR($E349="",T349=""),"",IF($E349="LONG",(T349-L349)*Q349,(L349-T349)*Q349))</f>
        <v/>
      </c>
      <c r="W349" s="10">
        <f>IF(V349="","",V349/N349)</f>
        <v/>
      </c>
      <c r="X349" s="11">
        <f>IF(V349="","",V349/R349)</f>
        <v/>
      </c>
      <c r="Y349" s="8">
        <f>IF(OR($E349="",L349=""),"",IF($E349="LONG",L349-K349,K349-L349))</f>
        <v/>
      </c>
      <c r="AP349" s="7" t="n"/>
    </row>
    <row r="350">
      <c r="H350" s="7" t="n"/>
      <c r="I350" s="7" t="n"/>
      <c r="J350" s="8">
        <f>IF($E350="","",MAX(Settings!$B$7,ROUND(Settings!$B$8*IF($E350="LONG",H350,I350),2)))</f>
        <v/>
      </c>
      <c r="K350" s="8">
        <f>IF($E350="","",IF($E350="LONG",H350+J350,I350-J350))</f>
        <v/>
      </c>
      <c r="L350" s="7" t="n"/>
      <c r="M350" s="8">
        <f>IF($E350="","",IF($E350="LONG",K350-O350,K350+O350))</f>
        <v/>
      </c>
      <c r="N350" s="7" t="n"/>
      <c r="O350" s="8">
        <f>IF(OR($E350="",AP350=""),"",ROUNDUP(ROUND(MAX(IF($E350="LONG",K350-I350,H350-K350),Settings!$B$9*AP350),6),2))</f>
        <v/>
      </c>
      <c r="P350" s="8">
        <f>IF($E350="","",N350*Settings!$B$4)</f>
        <v/>
      </c>
      <c r="Q350" s="9">
        <f>IF(O350="","",MIN(INT(ROUND(P350/O350,6)),INT(ROUND(Settings!$B$5/K350,6))))</f>
        <v/>
      </c>
      <c r="R350" s="8">
        <f>IF(O350="","",Q350*O350)</f>
        <v/>
      </c>
      <c r="S350" s="8">
        <f>IF(O350="","",IF($E350="LONG",K350+Settings!$B$6*O350,K350-Settings!$B$6*O350))</f>
        <v/>
      </c>
      <c r="T350" s="7" t="n"/>
      <c r="V350" s="8">
        <f>IF(OR($E350="",T350=""),"",IF($E350="LONG",(T350-L350)*Q350,(L350-T350)*Q350))</f>
        <v/>
      </c>
      <c r="W350" s="10">
        <f>IF(V350="","",V350/N350)</f>
        <v/>
      </c>
      <c r="X350" s="11">
        <f>IF(V350="","",V350/R350)</f>
        <v/>
      </c>
      <c r="Y350" s="8">
        <f>IF(OR($E350="",L350=""),"",IF($E350="LONG",L350-K350,K350-L350))</f>
        <v/>
      </c>
      <c r="AP350" s="7" t="n"/>
    </row>
    <row r="351">
      <c r="H351" s="7" t="n"/>
      <c r="I351" s="7" t="n"/>
      <c r="J351" s="8">
        <f>IF($E351="","",MAX(Settings!$B$7,ROUND(Settings!$B$8*IF($E351="LONG",H351,I351),2)))</f>
        <v/>
      </c>
      <c r="K351" s="8">
        <f>IF($E351="","",IF($E351="LONG",H351+J351,I351-J351))</f>
        <v/>
      </c>
      <c r="L351" s="7" t="n"/>
      <c r="M351" s="8">
        <f>IF($E351="","",IF($E351="LONG",K351-O351,K351+O351))</f>
        <v/>
      </c>
      <c r="N351" s="7" t="n"/>
      <c r="O351" s="8">
        <f>IF(OR($E351="",AP351=""),"",ROUNDUP(ROUND(MAX(IF($E351="LONG",K351-I351,H351-K351),Settings!$B$9*AP351),6),2))</f>
        <v/>
      </c>
      <c r="P351" s="8">
        <f>IF($E351="","",N351*Settings!$B$4)</f>
        <v/>
      </c>
      <c r="Q351" s="9">
        <f>IF(O351="","",MIN(INT(ROUND(P351/O351,6)),INT(ROUND(Settings!$B$5/K351,6))))</f>
        <v/>
      </c>
      <c r="R351" s="8">
        <f>IF(O351="","",Q351*O351)</f>
        <v/>
      </c>
      <c r="S351" s="8">
        <f>IF(O351="","",IF($E351="LONG",K351+Settings!$B$6*O351,K351-Settings!$B$6*O351))</f>
        <v/>
      </c>
      <c r="T351" s="7" t="n"/>
      <c r="V351" s="8">
        <f>IF(OR($E351="",T351=""),"",IF($E351="LONG",(T351-L351)*Q351,(L351-T351)*Q351))</f>
        <v/>
      </c>
      <c r="W351" s="10">
        <f>IF(V351="","",V351/N351)</f>
        <v/>
      </c>
      <c r="X351" s="11">
        <f>IF(V351="","",V351/R351)</f>
        <v/>
      </c>
      <c r="Y351" s="8">
        <f>IF(OR($E351="",L351=""),"",IF($E351="LONG",L351-K351,K351-L351))</f>
        <v/>
      </c>
      <c r="AP351" s="7" t="n"/>
    </row>
    <row r="352">
      <c r="H352" s="7" t="n"/>
      <c r="I352" s="7" t="n"/>
      <c r="J352" s="8">
        <f>IF($E352="","",MAX(Settings!$B$7,ROUND(Settings!$B$8*IF($E352="LONG",H352,I352),2)))</f>
        <v/>
      </c>
      <c r="K352" s="8">
        <f>IF($E352="","",IF($E352="LONG",H352+J352,I352-J352))</f>
        <v/>
      </c>
      <c r="L352" s="7" t="n"/>
      <c r="M352" s="8">
        <f>IF($E352="","",IF($E352="LONG",K352-O352,K352+O352))</f>
        <v/>
      </c>
      <c r="N352" s="7" t="n"/>
      <c r="O352" s="8">
        <f>IF(OR($E352="",AP352=""),"",ROUNDUP(ROUND(MAX(IF($E352="LONG",K352-I352,H352-K352),Settings!$B$9*AP352),6),2))</f>
        <v/>
      </c>
      <c r="P352" s="8">
        <f>IF($E352="","",N352*Settings!$B$4)</f>
        <v/>
      </c>
      <c r="Q352" s="9">
        <f>IF(O352="","",MIN(INT(ROUND(P352/O352,6)),INT(ROUND(Settings!$B$5/K352,6))))</f>
        <v/>
      </c>
      <c r="R352" s="8">
        <f>IF(O352="","",Q352*O352)</f>
        <v/>
      </c>
      <c r="S352" s="8">
        <f>IF(O352="","",IF($E352="LONG",K352+Settings!$B$6*O352,K352-Settings!$B$6*O352))</f>
        <v/>
      </c>
      <c r="T352" s="7" t="n"/>
      <c r="V352" s="8">
        <f>IF(OR($E352="",T352=""),"",IF($E352="LONG",(T352-L352)*Q352,(L352-T352)*Q352))</f>
        <v/>
      </c>
      <c r="W352" s="10">
        <f>IF(V352="","",V352/N352)</f>
        <v/>
      </c>
      <c r="X352" s="11">
        <f>IF(V352="","",V352/R352)</f>
        <v/>
      </c>
      <c r="Y352" s="8">
        <f>IF(OR($E352="",L352=""),"",IF($E352="LONG",L352-K352,K352-L352))</f>
        <v/>
      </c>
      <c r="AP352" s="7" t="n"/>
    </row>
    <row r="353">
      <c r="H353" s="7" t="n"/>
      <c r="I353" s="7" t="n"/>
      <c r="J353" s="8">
        <f>IF($E353="","",MAX(Settings!$B$7,ROUND(Settings!$B$8*IF($E353="LONG",H353,I353),2)))</f>
        <v/>
      </c>
      <c r="K353" s="8">
        <f>IF($E353="","",IF($E353="LONG",H353+J353,I353-J353))</f>
        <v/>
      </c>
      <c r="L353" s="7" t="n"/>
      <c r="M353" s="8">
        <f>IF($E353="","",IF($E353="LONG",K353-O353,K353+O353))</f>
        <v/>
      </c>
      <c r="N353" s="7" t="n"/>
      <c r="O353" s="8">
        <f>IF(OR($E353="",AP353=""),"",ROUNDUP(ROUND(MAX(IF($E353="LONG",K353-I353,H353-K353),Settings!$B$9*AP353),6),2))</f>
        <v/>
      </c>
      <c r="P353" s="8">
        <f>IF($E353="","",N353*Settings!$B$4)</f>
        <v/>
      </c>
      <c r="Q353" s="9">
        <f>IF(O353="","",MIN(INT(ROUND(P353/O353,6)),INT(ROUND(Settings!$B$5/K353,6))))</f>
        <v/>
      </c>
      <c r="R353" s="8">
        <f>IF(O353="","",Q353*O353)</f>
        <v/>
      </c>
      <c r="S353" s="8">
        <f>IF(O353="","",IF($E353="LONG",K353+Settings!$B$6*O353,K353-Settings!$B$6*O353))</f>
        <v/>
      </c>
      <c r="T353" s="7" t="n"/>
      <c r="V353" s="8">
        <f>IF(OR($E353="",T353=""),"",IF($E353="LONG",(T353-L353)*Q353,(L353-T353)*Q353))</f>
        <v/>
      </c>
      <c r="W353" s="10">
        <f>IF(V353="","",V353/N353)</f>
        <v/>
      </c>
      <c r="X353" s="11">
        <f>IF(V353="","",V353/R353)</f>
        <v/>
      </c>
      <c r="Y353" s="8">
        <f>IF(OR($E353="",L353=""),"",IF($E353="LONG",L353-K353,K353-L353))</f>
        <v/>
      </c>
      <c r="AP353" s="7" t="n"/>
    </row>
    <row r="354">
      <c r="H354" s="7" t="n"/>
      <c r="I354" s="7" t="n"/>
      <c r="J354" s="8">
        <f>IF($E354="","",MAX(Settings!$B$7,ROUND(Settings!$B$8*IF($E354="LONG",H354,I354),2)))</f>
        <v/>
      </c>
      <c r="K354" s="8">
        <f>IF($E354="","",IF($E354="LONG",H354+J354,I354-J354))</f>
        <v/>
      </c>
      <c r="L354" s="7" t="n"/>
      <c r="M354" s="8">
        <f>IF($E354="","",IF($E354="LONG",K354-O354,K354+O354))</f>
        <v/>
      </c>
      <c r="N354" s="7" t="n"/>
      <c r="O354" s="8">
        <f>IF(OR($E354="",AP354=""),"",ROUNDUP(ROUND(MAX(IF($E354="LONG",K354-I354,H354-K354),Settings!$B$9*AP354),6),2))</f>
        <v/>
      </c>
      <c r="P354" s="8">
        <f>IF($E354="","",N354*Settings!$B$4)</f>
        <v/>
      </c>
      <c r="Q354" s="9">
        <f>IF(O354="","",MIN(INT(ROUND(P354/O354,6)),INT(ROUND(Settings!$B$5/K354,6))))</f>
        <v/>
      </c>
      <c r="R354" s="8">
        <f>IF(O354="","",Q354*O354)</f>
        <v/>
      </c>
      <c r="S354" s="8">
        <f>IF(O354="","",IF($E354="LONG",K354+Settings!$B$6*O354,K354-Settings!$B$6*O354))</f>
        <v/>
      </c>
      <c r="T354" s="7" t="n"/>
      <c r="V354" s="8">
        <f>IF(OR($E354="",T354=""),"",IF($E354="LONG",(T354-L354)*Q354,(L354-T354)*Q354))</f>
        <v/>
      </c>
      <c r="W354" s="10">
        <f>IF(V354="","",V354/N354)</f>
        <v/>
      </c>
      <c r="X354" s="11">
        <f>IF(V354="","",V354/R354)</f>
        <v/>
      </c>
      <c r="Y354" s="8">
        <f>IF(OR($E354="",L354=""),"",IF($E354="LONG",L354-K354,K354-L354))</f>
        <v/>
      </c>
      <c r="AP354" s="7" t="n"/>
    </row>
    <row r="355">
      <c r="H355" s="7" t="n"/>
      <c r="I355" s="7" t="n"/>
      <c r="J355" s="8">
        <f>IF($E355="","",MAX(Settings!$B$7,ROUND(Settings!$B$8*IF($E355="LONG",H355,I355),2)))</f>
        <v/>
      </c>
      <c r="K355" s="8">
        <f>IF($E355="","",IF($E355="LONG",H355+J355,I355-J355))</f>
        <v/>
      </c>
      <c r="L355" s="7" t="n"/>
      <c r="M355" s="8">
        <f>IF($E355="","",IF($E355="LONG",K355-O355,K355+O355))</f>
        <v/>
      </c>
      <c r="N355" s="7" t="n"/>
      <c r="O355" s="8">
        <f>IF(OR($E355="",AP355=""),"",ROUNDUP(ROUND(MAX(IF($E355="LONG",K355-I355,H355-K355),Settings!$B$9*AP355),6),2))</f>
        <v/>
      </c>
      <c r="P355" s="8">
        <f>IF($E355="","",N355*Settings!$B$4)</f>
        <v/>
      </c>
      <c r="Q355" s="9">
        <f>IF(O355="","",MIN(INT(ROUND(P355/O355,6)),INT(ROUND(Settings!$B$5/K355,6))))</f>
        <v/>
      </c>
      <c r="R355" s="8">
        <f>IF(O355="","",Q355*O355)</f>
        <v/>
      </c>
      <c r="S355" s="8">
        <f>IF(O355="","",IF($E355="LONG",K355+Settings!$B$6*O355,K355-Settings!$B$6*O355))</f>
        <v/>
      </c>
      <c r="T355" s="7" t="n"/>
      <c r="V355" s="8">
        <f>IF(OR($E355="",T355=""),"",IF($E355="LONG",(T355-L355)*Q355,(L355-T355)*Q355))</f>
        <v/>
      </c>
      <c r="W355" s="10">
        <f>IF(V355="","",V355/N355)</f>
        <v/>
      </c>
      <c r="X355" s="11">
        <f>IF(V355="","",V355/R355)</f>
        <v/>
      </c>
      <c r="Y355" s="8">
        <f>IF(OR($E355="",L355=""),"",IF($E355="LONG",L355-K355,K355-L355))</f>
        <v/>
      </c>
      <c r="AP355" s="7" t="n"/>
    </row>
    <row r="356">
      <c r="H356" s="7" t="n"/>
      <c r="I356" s="7" t="n"/>
      <c r="J356" s="8">
        <f>IF($E356="","",MAX(Settings!$B$7,ROUND(Settings!$B$8*IF($E356="LONG",H356,I356),2)))</f>
        <v/>
      </c>
      <c r="K356" s="8">
        <f>IF($E356="","",IF($E356="LONG",H356+J356,I356-J356))</f>
        <v/>
      </c>
      <c r="L356" s="7" t="n"/>
      <c r="M356" s="8">
        <f>IF($E356="","",IF($E356="LONG",K356-O356,K356+O356))</f>
        <v/>
      </c>
      <c r="N356" s="7" t="n"/>
      <c r="O356" s="8">
        <f>IF(OR($E356="",AP356=""),"",ROUNDUP(ROUND(MAX(IF($E356="LONG",K356-I356,H356-K356),Settings!$B$9*AP356),6),2))</f>
        <v/>
      </c>
      <c r="P356" s="8">
        <f>IF($E356="","",N356*Settings!$B$4)</f>
        <v/>
      </c>
      <c r="Q356" s="9">
        <f>IF(O356="","",MIN(INT(ROUND(P356/O356,6)),INT(ROUND(Settings!$B$5/K356,6))))</f>
        <v/>
      </c>
      <c r="R356" s="8">
        <f>IF(O356="","",Q356*O356)</f>
        <v/>
      </c>
      <c r="S356" s="8">
        <f>IF(O356="","",IF($E356="LONG",K356+Settings!$B$6*O356,K356-Settings!$B$6*O356))</f>
        <v/>
      </c>
      <c r="T356" s="7" t="n"/>
      <c r="V356" s="8">
        <f>IF(OR($E356="",T356=""),"",IF($E356="LONG",(T356-L356)*Q356,(L356-T356)*Q356))</f>
        <v/>
      </c>
      <c r="W356" s="10">
        <f>IF(V356="","",V356/N356)</f>
        <v/>
      </c>
      <c r="X356" s="11">
        <f>IF(V356="","",V356/R356)</f>
        <v/>
      </c>
      <c r="Y356" s="8">
        <f>IF(OR($E356="",L356=""),"",IF($E356="LONG",L356-K356,K356-L356))</f>
        <v/>
      </c>
      <c r="AP356" s="7" t="n"/>
    </row>
    <row r="357">
      <c r="H357" s="7" t="n"/>
      <c r="I357" s="7" t="n"/>
      <c r="J357" s="8">
        <f>IF($E357="","",MAX(Settings!$B$7,ROUND(Settings!$B$8*IF($E357="LONG",H357,I357),2)))</f>
        <v/>
      </c>
      <c r="K357" s="8">
        <f>IF($E357="","",IF($E357="LONG",H357+J357,I357-J357))</f>
        <v/>
      </c>
      <c r="L357" s="7" t="n"/>
      <c r="M357" s="8">
        <f>IF($E357="","",IF($E357="LONG",K357-O357,K357+O357))</f>
        <v/>
      </c>
      <c r="N357" s="7" t="n"/>
      <c r="O357" s="8">
        <f>IF(OR($E357="",AP357=""),"",ROUNDUP(ROUND(MAX(IF($E357="LONG",K357-I357,H357-K357),Settings!$B$9*AP357),6),2))</f>
        <v/>
      </c>
      <c r="P357" s="8">
        <f>IF($E357="","",N357*Settings!$B$4)</f>
        <v/>
      </c>
      <c r="Q357" s="9">
        <f>IF(O357="","",MIN(INT(ROUND(P357/O357,6)),INT(ROUND(Settings!$B$5/K357,6))))</f>
        <v/>
      </c>
      <c r="R357" s="8">
        <f>IF(O357="","",Q357*O357)</f>
        <v/>
      </c>
      <c r="S357" s="8">
        <f>IF(O357="","",IF($E357="LONG",K357+Settings!$B$6*O357,K357-Settings!$B$6*O357))</f>
        <v/>
      </c>
      <c r="T357" s="7" t="n"/>
      <c r="V357" s="8">
        <f>IF(OR($E357="",T357=""),"",IF($E357="LONG",(T357-L357)*Q357,(L357-T357)*Q357))</f>
        <v/>
      </c>
      <c r="W357" s="10">
        <f>IF(V357="","",V357/N357)</f>
        <v/>
      </c>
      <c r="X357" s="11">
        <f>IF(V357="","",V357/R357)</f>
        <v/>
      </c>
      <c r="Y357" s="8">
        <f>IF(OR($E357="",L357=""),"",IF($E357="LONG",L357-K357,K357-L357))</f>
        <v/>
      </c>
      <c r="AP357" s="7" t="n"/>
    </row>
    <row r="358">
      <c r="H358" s="7" t="n"/>
      <c r="I358" s="7" t="n"/>
      <c r="J358" s="8">
        <f>IF($E358="","",MAX(Settings!$B$7,ROUND(Settings!$B$8*IF($E358="LONG",H358,I358),2)))</f>
        <v/>
      </c>
      <c r="K358" s="8">
        <f>IF($E358="","",IF($E358="LONG",H358+J358,I358-J358))</f>
        <v/>
      </c>
      <c r="L358" s="7" t="n"/>
      <c r="M358" s="8">
        <f>IF($E358="","",IF($E358="LONG",K358-O358,K358+O358))</f>
        <v/>
      </c>
      <c r="N358" s="7" t="n"/>
      <c r="O358" s="8">
        <f>IF(OR($E358="",AP358=""),"",ROUNDUP(ROUND(MAX(IF($E358="LONG",K358-I358,H358-K358),Settings!$B$9*AP358),6),2))</f>
        <v/>
      </c>
      <c r="P358" s="8">
        <f>IF($E358="","",N358*Settings!$B$4)</f>
        <v/>
      </c>
      <c r="Q358" s="9">
        <f>IF(O358="","",MIN(INT(ROUND(P358/O358,6)),INT(ROUND(Settings!$B$5/K358,6))))</f>
        <v/>
      </c>
      <c r="R358" s="8">
        <f>IF(O358="","",Q358*O358)</f>
        <v/>
      </c>
      <c r="S358" s="8">
        <f>IF(O358="","",IF($E358="LONG",K358+Settings!$B$6*O358,K358-Settings!$B$6*O358))</f>
        <v/>
      </c>
      <c r="T358" s="7" t="n"/>
      <c r="V358" s="8">
        <f>IF(OR($E358="",T358=""),"",IF($E358="LONG",(T358-L358)*Q358,(L358-T358)*Q358))</f>
        <v/>
      </c>
      <c r="W358" s="10">
        <f>IF(V358="","",V358/N358)</f>
        <v/>
      </c>
      <c r="X358" s="11">
        <f>IF(V358="","",V358/R358)</f>
        <v/>
      </c>
      <c r="Y358" s="8">
        <f>IF(OR($E358="",L358=""),"",IF($E358="LONG",L358-K358,K358-L358))</f>
        <v/>
      </c>
      <c r="AP358" s="7" t="n"/>
    </row>
    <row r="359">
      <c r="H359" s="7" t="n"/>
      <c r="I359" s="7" t="n"/>
      <c r="J359" s="8">
        <f>IF($E359="","",MAX(Settings!$B$7,ROUND(Settings!$B$8*IF($E359="LONG",H359,I359),2)))</f>
        <v/>
      </c>
      <c r="K359" s="8">
        <f>IF($E359="","",IF($E359="LONG",H359+J359,I359-J359))</f>
        <v/>
      </c>
      <c r="L359" s="7" t="n"/>
      <c r="M359" s="8">
        <f>IF($E359="","",IF($E359="LONG",K359-O359,K359+O359))</f>
        <v/>
      </c>
      <c r="N359" s="7" t="n"/>
      <c r="O359" s="8">
        <f>IF(OR($E359="",AP359=""),"",ROUNDUP(ROUND(MAX(IF($E359="LONG",K359-I359,H359-K359),Settings!$B$9*AP359),6),2))</f>
        <v/>
      </c>
      <c r="P359" s="8">
        <f>IF($E359="","",N359*Settings!$B$4)</f>
        <v/>
      </c>
      <c r="Q359" s="9">
        <f>IF(O359="","",MIN(INT(ROUND(P359/O359,6)),INT(ROUND(Settings!$B$5/K359,6))))</f>
        <v/>
      </c>
      <c r="R359" s="8">
        <f>IF(O359="","",Q359*O359)</f>
        <v/>
      </c>
      <c r="S359" s="8">
        <f>IF(O359="","",IF($E359="LONG",K359+Settings!$B$6*O359,K359-Settings!$B$6*O359))</f>
        <v/>
      </c>
      <c r="T359" s="7" t="n"/>
      <c r="V359" s="8">
        <f>IF(OR($E359="",T359=""),"",IF($E359="LONG",(T359-L359)*Q359,(L359-T359)*Q359))</f>
        <v/>
      </c>
      <c r="W359" s="10">
        <f>IF(V359="","",V359/N359)</f>
        <v/>
      </c>
      <c r="X359" s="11">
        <f>IF(V359="","",V359/R359)</f>
        <v/>
      </c>
      <c r="Y359" s="8">
        <f>IF(OR($E359="",L359=""),"",IF($E359="LONG",L359-K359,K359-L359))</f>
        <v/>
      </c>
      <c r="AP359" s="7" t="n"/>
    </row>
    <row r="360">
      <c r="H360" s="7" t="n"/>
      <c r="I360" s="7" t="n"/>
      <c r="J360" s="8">
        <f>IF($E360="","",MAX(Settings!$B$7,ROUND(Settings!$B$8*IF($E360="LONG",H360,I360),2)))</f>
        <v/>
      </c>
      <c r="K360" s="8">
        <f>IF($E360="","",IF($E360="LONG",H360+J360,I360-J360))</f>
        <v/>
      </c>
      <c r="L360" s="7" t="n"/>
      <c r="M360" s="8">
        <f>IF($E360="","",IF($E360="LONG",K360-O360,K360+O360))</f>
        <v/>
      </c>
      <c r="N360" s="7" t="n"/>
      <c r="O360" s="8">
        <f>IF(OR($E360="",AP360=""),"",ROUNDUP(ROUND(MAX(IF($E360="LONG",K360-I360,H360-K360),Settings!$B$9*AP360),6),2))</f>
        <v/>
      </c>
      <c r="P360" s="8">
        <f>IF($E360="","",N360*Settings!$B$4)</f>
        <v/>
      </c>
      <c r="Q360" s="9">
        <f>IF(O360="","",MIN(INT(ROUND(P360/O360,6)),INT(ROUND(Settings!$B$5/K360,6))))</f>
        <v/>
      </c>
      <c r="R360" s="8">
        <f>IF(O360="","",Q360*O360)</f>
        <v/>
      </c>
      <c r="S360" s="8">
        <f>IF(O360="","",IF($E360="LONG",K360+Settings!$B$6*O360,K360-Settings!$B$6*O360))</f>
        <v/>
      </c>
      <c r="T360" s="7" t="n"/>
      <c r="V360" s="8">
        <f>IF(OR($E360="",T360=""),"",IF($E360="LONG",(T360-L360)*Q360,(L360-T360)*Q360))</f>
        <v/>
      </c>
      <c r="W360" s="10">
        <f>IF(V360="","",V360/N360)</f>
        <v/>
      </c>
      <c r="X360" s="11">
        <f>IF(V360="","",V360/R360)</f>
        <v/>
      </c>
      <c r="Y360" s="8">
        <f>IF(OR($E360="",L360=""),"",IF($E360="LONG",L360-K360,K360-L360))</f>
        <v/>
      </c>
      <c r="AP360" s="7" t="n"/>
    </row>
    <row r="361">
      <c r="H361" s="7" t="n"/>
      <c r="I361" s="7" t="n"/>
      <c r="J361" s="8">
        <f>IF($E361="","",MAX(Settings!$B$7,ROUND(Settings!$B$8*IF($E361="LONG",H361,I361),2)))</f>
        <v/>
      </c>
      <c r="K361" s="8">
        <f>IF($E361="","",IF($E361="LONG",H361+J361,I361-J361))</f>
        <v/>
      </c>
      <c r="L361" s="7" t="n"/>
      <c r="M361" s="8">
        <f>IF($E361="","",IF($E361="LONG",K361-O361,K361+O361))</f>
        <v/>
      </c>
      <c r="N361" s="7" t="n"/>
      <c r="O361" s="8">
        <f>IF(OR($E361="",AP361=""),"",ROUNDUP(ROUND(MAX(IF($E361="LONG",K361-I361,H361-K361),Settings!$B$9*AP361),6),2))</f>
        <v/>
      </c>
      <c r="P361" s="8">
        <f>IF($E361="","",N361*Settings!$B$4)</f>
        <v/>
      </c>
      <c r="Q361" s="9">
        <f>IF(O361="","",MIN(INT(ROUND(P361/O361,6)),INT(ROUND(Settings!$B$5/K361,6))))</f>
        <v/>
      </c>
      <c r="R361" s="8">
        <f>IF(O361="","",Q361*O361)</f>
        <v/>
      </c>
      <c r="S361" s="8">
        <f>IF(O361="","",IF($E361="LONG",K361+Settings!$B$6*O361,K361-Settings!$B$6*O361))</f>
        <v/>
      </c>
      <c r="T361" s="7" t="n"/>
      <c r="V361" s="8">
        <f>IF(OR($E361="",T361=""),"",IF($E361="LONG",(T361-L361)*Q361,(L361-T361)*Q361))</f>
        <v/>
      </c>
      <c r="W361" s="10">
        <f>IF(V361="","",V361/N361)</f>
        <v/>
      </c>
      <c r="X361" s="11">
        <f>IF(V361="","",V361/R361)</f>
        <v/>
      </c>
      <c r="Y361" s="8">
        <f>IF(OR($E361="",L361=""),"",IF($E361="LONG",L361-K361,K361-L361))</f>
        <v/>
      </c>
      <c r="AP361" s="7" t="n"/>
    </row>
    <row r="362">
      <c r="H362" s="7" t="n"/>
      <c r="I362" s="7" t="n"/>
      <c r="J362" s="8">
        <f>IF($E362="","",MAX(Settings!$B$7,ROUND(Settings!$B$8*IF($E362="LONG",H362,I362),2)))</f>
        <v/>
      </c>
      <c r="K362" s="8">
        <f>IF($E362="","",IF($E362="LONG",H362+J362,I362-J362))</f>
        <v/>
      </c>
      <c r="L362" s="7" t="n"/>
      <c r="M362" s="8">
        <f>IF($E362="","",IF($E362="LONG",K362-O362,K362+O362))</f>
        <v/>
      </c>
      <c r="N362" s="7" t="n"/>
      <c r="O362" s="8">
        <f>IF(OR($E362="",AP362=""),"",ROUNDUP(ROUND(MAX(IF($E362="LONG",K362-I362,H362-K362),Settings!$B$9*AP362),6),2))</f>
        <v/>
      </c>
      <c r="P362" s="8">
        <f>IF($E362="","",N362*Settings!$B$4)</f>
        <v/>
      </c>
      <c r="Q362" s="9">
        <f>IF(O362="","",MIN(INT(ROUND(P362/O362,6)),INT(ROUND(Settings!$B$5/K362,6))))</f>
        <v/>
      </c>
      <c r="R362" s="8">
        <f>IF(O362="","",Q362*O362)</f>
        <v/>
      </c>
      <c r="S362" s="8">
        <f>IF(O362="","",IF($E362="LONG",K362+Settings!$B$6*O362,K362-Settings!$B$6*O362))</f>
        <v/>
      </c>
      <c r="T362" s="7" t="n"/>
      <c r="V362" s="8">
        <f>IF(OR($E362="",T362=""),"",IF($E362="LONG",(T362-L362)*Q362,(L362-T362)*Q362))</f>
        <v/>
      </c>
      <c r="W362" s="10">
        <f>IF(V362="","",V362/N362)</f>
        <v/>
      </c>
      <c r="X362" s="11">
        <f>IF(V362="","",V362/R362)</f>
        <v/>
      </c>
      <c r="Y362" s="8">
        <f>IF(OR($E362="",L362=""),"",IF($E362="LONG",L362-K362,K362-L362))</f>
        <v/>
      </c>
      <c r="AP362" s="7" t="n"/>
    </row>
    <row r="363">
      <c r="H363" s="7" t="n"/>
      <c r="I363" s="7" t="n"/>
      <c r="J363" s="8">
        <f>IF($E363="","",MAX(Settings!$B$7,ROUND(Settings!$B$8*IF($E363="LONG",H363,I363),2)))</f>
        <v/>
      </c>
      <c r="K363" s="8">
        <f>IF($E363="","",IF($E363="LONG",H363+J363,I363-J363))</f>
        <v/>
      </c>
      <c r="L363" s="7" t="n"/>
      <c r="M363" s="8">
        <f>IF($E363="","",IF($E363="LONG",K363-O363,K363+O363))</f>
        <v/>
      </c>
      <c r="N363" s="7" t="n"/>
      <c r="O363" s="8">
        <f>IF(OR($E363="",AP363=""),"",ROUNDUP(ROUND(MAX(IF($E363="LONG",K363-I363,H363-K363),Settings!$B$9*AP363),6),2))</f>
        <v/>
      </c>
      <c r="P363" s="8">
        <f>IF($E363="","",N363*Settings!$B$4)</f>
        <v/>
      </c>
      <c r="Q363" s="9">
        <f>IF(O363="","",MIN(INT(ROUND(P363/O363,6)),INT(ROUND(Settings!$B$5/K363,6))))</f>
        <v/>
      </c>
      <c r="R363" s="8">
        <f>IF(O363="","",Q363*O363)</f>
        <v/>
      </c>
      <c r="S363" s="8">
        <f>IF(O363="","",IF($E363="LONG",K363+Settings!$B$6*O363,K363-Settings!$B$6*O363))</f>
        <v/>
      </c>
      <c r="T363" s="7" t="n"/>
      <c r="V363" s="8">
        <f>IF(OR($E363="",T363=""),"",IF($E363="LONG",(T363-L363)*Q363,(L363-T363)*Q363))</f>
        <v/>
      </c>
      <c r="W363" s="10">
        <f>IF(V363="","",V363/N363)</f>
        <v/>
      </c>
      <c r="X363" s="11">
        <f>IF(V363="","",V363/R363)</f>
        <v/>
      </c>
      <c r="Y363" s="8">
        <f>IF(OR($E363="",L363=""),"",IF($E363="LONG",L363-K363,K363-L363))</f>
        <v/>
      </c>
      <c r="AP363" s="7" t="n"/>
    </row>
    <row r="364">
      <c r="H364" s="7" t="n"/>
      <c r="I364" s="7" t="n"/>
      <c r="J364" s="8">
        <f>IF($E364="","",MAX(Settings!$B$7,ROUND(Settings!$B$8*IF($E364="LONG",H364,I364),2)))</f>
        <v/>
      </c>
      <c r="K364" s="8">
        <f>IF($E364="","",IF($E364="LONG",H364+J364,I364-J364))</f>
        <v/>
      </c>
      <c r="L364" s="7" t="n"/>
      <c r="M364" s="8">
        <f>IF($E364="","",IF($E364="LONG",K364-O364,K364+O364))</f>
        <v/>
      </c>
      <c r="N364" s="7" t="n"/>
      <c r="O364" s="8">
        <f>IF(OR($E364="",AP364=""),"",ROUNDUP(ROUND(MAX(IF($E364="LONG",K364-I364,H364-K364),Settings!$B$9*AP364),6),2))</f>
        <v/>
      </c>
      <c r="P364" s="8">
        <f>IF($E364="","",N364*Settings!$B$4)</f>
        <v/>
      </c>
      <c r="Q364" s="9">
        <f>IF(O364="","",MIN(INT(ROUND(P364/O364,6)),INT(ROUND(Settings!$B$5/K364,6))))</f>
        <v/>
      </c>
      <c r="R364" s="8">
        <f>IF(O364="","",Q364*O364)</f>
        <v/>
      </c>
      <c r="S364" s="8">
        <f>IF(O364="","",IF($E364="LONG",K364+Settings!$B$6*O364,K364-Settings!$B$6*O364))</f>
        <v/>
      </c>
      <c r="T364" s="7" t="n"/>
      <c r="V364" s="8">
        <f>IF(OR($E364="",T364=""),"",IF($E364="LONG",(T364-L364)*Q364,(L364-T364)*Q364))</f>
        <v/>
      </c>
      <c r="W364" s="10">
        <f>IF(V364="","",V364/N364)</f>
        <v/>
      </c>
      <c r="X364" s="11">
        <f>IF(V364="","",V364/R364)</f>
        <v/>
      </c>
      <c r="Y364" s="8">
        <f>IF(OR($E364="",L364=""),"",IF($E364="LONG",L364-K364,K364-L364))</f>
        <v/>
      </c>
      <c r="AP364" s="7" t="n"/>
    </row>
    <row r="365">
      <c r="H365" s="7" t="n"/>
      <c r="I365" s="7" t="n"/>
      <c r="J365" s="8">
        <f>IF($E365="","",MAX(Settings!$B$7,ROUND(Settings!$B$8*IF($E365="LONG",H365,I365),2)))</f>
        <v/>
      </c>
      <c r="K365" s="8">
        <f>IF($E365="","",IF($E365="LONG",H365+J365,I365-J365))</f>
        <v/>
      </c>
      <c r="L365" s="7" t="n"/>
      <c r="M365" s="8">
        <f>IF($E365="","",IF($E365="LONG",K365-O365,K365+O365))</f>
        <v/>
      </c>
      <c r="N365" s="7" t="n"/>
      <c r="O365" s="8">
        <f>IF(OR($E365="",AP365=""),"",ROUNDUP(ROUND(MAX(IF($E365="LONG",K365-I365,H365-K365),Settings!$B$9*AP365),6),2))</f>
        <v/>
      </c>
      <c r="P365" s="8">
        <f>IF($E365="","",N365*Settings!$B$4)</f>
        <v/>
      </c>
      <c r="Q365" s="9">
        <f>IF(O365="","",MIN(INT(ROUND(P365/O365,6)),INT(ROUND(Settings!$B$5/K365,6))))</f>
        <v/>
      </c>
      <c r="R365" s="8">
        <f>IF(O365="","",Q365*O365)</f>
        <v/>
      </c>
      <c r="S365" s="8">
        <f>IF(O365="","",IF($E365="LONG",K365+Settings!$B$6*O365,K365-Settings!$B$6*O365))</f>
        <v/>
      </c>
      <c r="T365" s="7" t="n"/>
      <c r="V365" s="8">
        <f>IF(OR($E365="",T365=""),"",IF($E365="LONG",(T365-L365)*Q365,(L365-T365)*Q365))</f>
        <v/>
      </c>
      <c r="W365" s="10">
        <f>IF(V365="","",V365/N365)</f>
        <v/>
      </c>
      <c r="X365" s="11">
        <f>IF(V365="","",V365/R365)</f>
        <v/>
      </c>
      <c r="Y365" s="8">
        <f>IF(OR($E365="",L365=""),"",IF($E365="LONG",L365-K365,K365-L365))</f>
        <v/>
      </c>
      <c r="AP365" s="7" t="n"/>
    </row>
    <row r="366">
      <c r="H366" s="7" t="n"/>
      <c r="I366" s="7" t="n"/>
      <c r="J366" s="8">
        <f>IF($E366="","",MAX(Settings!$B$7,ROUND(Settings!$B$8*IF($E366="LONG",H366,I366),2)))</f>
        <v/>
      </c>
      <c r="K366" s="8">
        <f>IF($E366="","",IF($E366="LONG",H366+J366,I366-J366))</f>
        <v/>
      </c>
      <c r="L366" s="7" t="n"/>
      <c r="M366" s="8">
        <f>IF($E366="","",IF($E366="LONG",K366-O366,K366+O366))</f>
        <v/>
      </c>
      <c r="N366" s="7" t="n"/>
      <c r="O366" s="8">
        <f>IF(OR($E366="",AP366=""),"",ROUNDUP(ROUND(MAX(IF($E366="LONG",K366-I366,H366-K366),Settings!$B$9*AP366),6),2))</f>
        <v/>
      </c>
      <c r="P366" s="8">
        <f>IF($E366="","",N366*Settings!$B$4)</f>
        <v/>
      </c>
      <c r="Q366" s="9">
        <f>IF(O366="","",MIN(INT(ROUND(P366/O366,6)),INT(ROUND(Settings!$B$5/K366,6))))</f>
        <v/>
      </c>
      <c r="R366" s="8">
        <f>IF(O366="","",Q366*O366)</f>
        <v/>
      </c>
      <c r="S366" s="8">
        <f>IF(O366="","",IF($E366="LONG",K366+Settings!$B$6*O366,K366-Settings!$B$6*O366))</f>
        <v/>
      </c>
      <c r="T366" s="7" t="n"/>
      <c r="V366" s="8">
        <f>IF(OR($E366="",T366=""),"",IF($E366="LONG",(T366-L366)*Q366,(L366-T366)*Q366))</f>
        <v/>
      </c>
      <c r="W366" s="10">
        <f>IF(V366="","",V366/N366)</f>
        <v/>
      </c>
      <c r="X366" s="11">
        <f>IF(V366="","",V366/R366)</f>
        <v/>
      </c>
      <c r="Y366" s="8">
        <f>IF(OR($E366="",L366=""),"",IF($E366="LONG",L366-K366,K366-L366))</f>
        <v/>
      </c>
      <c r="AP366" s="7" t="n"/>
    </row>
    <row r="367">
      <c r="H367" s="7" t="n"/>
      <c r="I367" s="7" t="n"/>
      <c r="J367" s="8">
        <f>IF($E367="","",MAX(Settings!$B$7,ROUND(Settings!$B$8*IF($E367="LONG",H367,I367),2)))</f>
        <v/>
      </c>
      <c r="K367" s="8">
        <f>IF($E367="","",IF($E367="LONG",H367+J367,I367-J367))</f>
        <v/>
      </c>
      <c r="L367" s="7" t="n"/>
      <c r="M367" s="8">
        <f>IF($E367="","",IF($E367="LONG",K367-O367,K367+O367))</f>
        <v/>
      </c>
      <c r="N367" s="7" t="n"/>
      <c r="O367" s="8">
        <f>IF(OR($E367="",AP367=""),"",ROUNDUP(ROUND(MAX(IF($E367="LONG",K367-I367,H367-K367),Settings!$B$9*AP367),6),2))</f>
        <v/>
      </c>
      <c r="P367" s="8">
        <f>IF($E367="","",N367*Settings!$B$4)</f>
        <v/>
      </c>
      <c r="Q367" s="9">
        <f>IF(O367="","",MIN(INT(ROUND(P367/O367,6)),INT(ROUND(Settings!$B$5/K367,6))))</f>
        <v/>
      </c>
      <c r="R367" s="8">
        <f>IF(O367="","",Q367*O367)</f>
        <v/>
      </c>
      <c r="S367" s="8">
        <f>IF(O367="","",IF($E367="LONG",K367+Settings!$B$6*O367,K367-Settings!$B$6*O367))</f>
        <v/>
      </c>
      <c r="T367" s="7" t="n"/>
      <c r="V367" s="8">
        <f>IF(OR($E367="",T367=""),"",IF($E367="LONG",(T367-L367)*Q367,(L367-T367)*Q367))</f>
        <v/>
      </c>
      <c r="W367" s="10">
        <f>IF(V367="","",V367/N367)</f>
        <v/>
      </c>
      <c r="X367" s="11">
        <f>IF(V367="","",V367/R367)</f>
        <v/>
      </c>
      <c r="Y367" s="8">
        <f>IF(OR($E367="",L367=""),"",IF($E367="LONG",L367-K367,K367-L367))</f>
        <v/>
      </c>
      <c r="AP367" s="7" t="n"/>
    </row>
    <row r="368">
      <c r="H368" s="7" t="n"/>
      <c r="I368" s="7" t="n"/>
      <c r="J368" s="8">
        <f>IF($E368="","",MAX(Settings!$B$7,ROUND(Settings!$B$8*IF($E368="LONG",H368,I368),2)))</f>
        <v/>
      </c>
      <c r="K368" s="8">
        <f>IF($E368="","",IF($E368="LONG",H368+J368,I368-J368))</f>
        <v/>
      </c>
      <c r="L368" s="7" t="n"/>
      <c r="M368" s="8">
        <f>IF($E368="","",IF($E368="LONG",K368-O368,K368+O368))</f>
        <v/>
      </c>
      <c r="N368" s="7" t="n"/>
      <c r="O368" s="8">
        <f>IF(OR($E368="",AP368=""),"",ROUNDUP(ROUND(MAX(IF($E368="LONG",K368-I368,H368-K368),Settings!$B$9*AP368),6),2))</f>
        <v/>
      </c>
      <c r="P368" s="8">
        <f>IF($E368="","",N368*Settings!$B$4)</f>
        <v/>
      </c>
      <c r="Q368" s="9">
        <f>IF(O368="","",MIN(INT(ROUND(P368/O368,6)),INT(ROUND(Settings!$B$5/K368,6))))</f>
        <v/>
      </c>
      <c r="R368" s="8">
        <f>IF(O368="","",Q368*O368)</f>
        <v/>
      </c>
      <c r="S368" s="8">
        <f>IF(O368="","",IF($E368="LONG",K368+Settings!$B$6*O368,K368-Settings!$B$6*O368))</f>
        <v/>
      </c>
      <c r="T368" s="7" t="n"/>
      <c r="V368" s="8">
        <f>IF(OR($E368="",T368=""),"",IF($E368="LONG",(T368-L368)*Q368,(L368-T368)*Q368))</f>
        <v/>
      </c>
      <c r="W368" s="10">
        <f>IF(V368="","",V368/N368)</f>
        <v/>
      </c>
      <c r="X368" s="11">
        <f>IF(V368="","",V368/R368)</f>
        <v/>
      </c>
      <c r="Y368" s="8">
        <f>IF(OR($E368="",L368=""),"",IF($E368="LONG",L368-K368,K368-L368))</f>
        <v/>
      </c>
      <c r="AP368" s="7" t="n"/>
    </row>
    <row r="369">
      <c r="H369" s="7" t="n"/>
      <c r="I369" s="7" t="n"/>
      <c r="J369" s="8">
        <f>IF($E369="","",MAX(Settings!$B$7,ROUND(Settings!$B$8*IF($E369="LONG",H369,I369),2)))</f>
        <v/>
      </c>
      <c r="K369" s="8">
        <f>IF($E369="","",IF($E369="LONG",H369+J369,I369-J369))</f>
        <v/>
      </c>
      <c r="L369" s="7" t="n"/>
      <c r="M369" s="8">
        <f>IF($E369="","",IF($E369="LONG",K369-O369,K369+O369))</f>
        <v/>
      </c>
      <c r="N369" s="7" t="n"/>
      <c r="O369" s="8">
        <f>IF(OR($E369="",AP369=""),"",ROUNDUP(ROUND(MAX(IF($E369="LONG",K369-I369,H369-K369),Settings!$B$9*AP369),6),2))</f>
        <v/>
      </c>
      <c r="P369" s="8">
        <f>IF($E369="","",N369*Settings!$B$4)</f>
        <v/>
      </c>
      <c r="Q369" s="9">
        <f>IF(O369="","",MIN(INT(ROUND(P369/O369,6)),INT(ROUND(Settings!$B$5/K369,6))))</f>
        <v/>
      </c>
      <c r="R369" s="8">
        <f>IF(O369="","",Q369*O369)</f>
        <v/>
      </c>
      <c r="S369" s="8">
        <f>IF(O369="","",IF($E369="LONG",K369+Settings!$B$6*O369,K369-Settings!$B$6*O369))</f>
        <v/>
      </c>
      <c r="T369" s="7" t="n"/>
      <c r="V369" s="8">
        <f>IF(OR($E369="",T369=""),"",IF($E369="LONG",(T369-L369)*Q369,(L369-T369)*Q369))</f>
        <v/>
      </c>
      <c r="W369" s="10">
        <f>IF(V369="","",V369/N369)</f>
        <v/>
      </c>
      <c r="X369" s="11">
        <f>IF(V369="","",V369/R369)</f>
        <v/>
      </c>
      <c r="Y369" s="8">
        <f>IF(OR($E369="",L369=""),"",IF($E369="LONG",L369-K369,K369-L369))</f>
        <v/>
      </c>
      <c r="AP369" s="7" t="n"/>
    </row>
    <row r="370">
      <c r="H370" s="7" t="n"/>
      <c r="I370" s="7" t="n"/>
      <c r="J370" s="8">
        <f>IF($E370="","",MAX(Settings!$B$7,ROUND(Settings!$B$8*IF($E370="LONG",H370,I370),2)))</f>
        <v/>
      </c>
      <c r="K370" s="8">
        <f>IF($E370="","",IF($E370="LONG",H370+J370,I370-J370))</f>
        <v/>
      </c>
      <c r="L370" s="7" t="n"/>
      <c r="M370" s="8">
        <f>IF($E370="","",IF($E370="LONG",K370-O370,K370+O370))</f>
        <v/>
      </c>
      <c r="N370" s="7" t="n"/>
      <c r="O370" s="8">
        <f>IF(OR($E370="",AP370=""),"",ROUNDUP(ROUND(MAX(IF($E370="LONG",K370-I370,H370-K370),Settings!$B$9*AP370),6),2))</f>
        <v/>
      </c>
      <c r="P370" s="8">
        <f>IF($E370="","",N370*Settings!$B$4)</f>
        <v/>
      </c>
      <c r="Q370" s="9">
        <f>IF(O370="","",MIN(INT(ROUND(P370/O370,6)),INT(ROUND(Settings!$B$5/K370,6))))</f>
        <v/>
      </c>
      <c r="R370" s="8">
        <f>IF(O370="","",Q370*O370)</f>
        <v/>
      </c>
      <c r="S370" s="8">
        <f>IF(O370="","",IF($E370="LONG",K370+Settings!$B$6*O370,K370-Settings!$B$6*O370))</f>
        <v/>
      </c>
      <c r="T370" s="7" t="n"/>
      <c r="V370" s="8">
        <f>IF(OR($E370="",T370=""),"",IF($E370="LONG",(T370-L370)*Q370,(L370-T370)*Q370))</f>
        <v/>
      </c>
      <c r="W370" s="10">
        <f>IF(V370="","",V370/N370)</f>
        <v/>
      </c>
      <c r="X370" s="11">
        <f>IF(V370="","",V370/R370)</f>
        <v/>
      </c>
      <c r="Y370" s="8">
        <f>IF(OR($E370="",L370=""),"",IF($E370="LONG",L370-K370,K370-L370))</f>
        <v/>
      </c>
      <c r="AP370" s="7" t="n"/>
    </row>
    <row r="371">
      <c r="H371" s="7" t="n"/>
      <c r="I371" s="7" t="n"/>
      <c r="J371" s="8">
        <f>IF($E371="","",MAX(Settings!$B$7,ROUND(Settings!$B$8*IF($E371="LONG",H371,I371),2)))</f>
        <v/>
      </c>
      <c r="K371" s="8">
        <f>IF($E371="","",IF($E371="LONG",H371+J371,I371-J371))</f>
        <v/>
      </c>
      <c r="L371" s="7" t="n"/>
      <c r="M371" s="8">
        <f>IF($E371="","",IF($E371="LONG",K371-O371,K371+O371))</f>
        <v/>
      </c>
      <c r="N371" s="7" t="n"/>
      <c r="O371" s="8">
        <f>IF(OR($E371="",AP371=""),"",ROUNDUP(ROUND(MAX(IF($E371="LONG",K371-I371,H371-K371),Settings!$B$9*AP371),6),2))</f>
        <v/>
      </c>
      <c r="P371" s="8">
        <f>IF($E371="","",N371*Settings!$B$4)</f>
        <v/>
      </c>
      <c r="Q371" s="9">
        <f>IF(O371="","",MIN(INT(ROUND(P371/O371,6)),INT(ROUND(Settings!$B$5/K371,6))))</f>
        <v/>
      </c>
      <c r="R371" s="8">
        <f>IF(O371="","",Q371*O371)</f>
        <v/>
      </c>
      <c r="S371" s="8">
        <f>IF(O371="","",IF($E371="LONG",K371+Settings!$B$6*O371,K371-Settings!$B$6*O371))</f>
        <v/>
      </c>
      <c r="T371" s="7" t="n"/>
      <c r="V371" s="8">
        <f>IF(OR($E371="",T371=""),"",IF($E371="LONG",(T371-L371)*Q371,(L371-T371)*Q371))</f>
        <v/>
      </c>
      <c r="W371" s="10">
        <f>IF(V371="","",V371/N371)</f>
        <v/>
      </c>
      <c r="X371" s="11">
        <f>IF(V371="","",V371/R371)</f>
        <v/>
      </c>
      <c r="Y371" s="8">
        <f>IF(OR($E371="",L371=""),"",IF($E371="LONG",L371-K371,K371-L371))</f>
        <v/>
      </c>
      <c r="AP371" s="7" t="n"/>
    </row>
    <row r="372">
      <c r="H372" s="7" t="n"/>
      <c r="I372" s="7" t="n"/>
      <c r="J372" s="8">
        <f>IF($E372="","",MAX(Settings!$B$7,ROUND(Settings!$B$8*IF($E372="LONG",H372,I372),2)))</f>
        <v/>
      </c>
      <c r="K372" s="8">
        <f>IF($E372="","",IF($E372="LONG",H372+J372,I372-J372))</f>
        <v/>
      </c>
      <c r="L372" s="7" t="n"/>
      <c r="M372" s="8">
        <f>IF($E372="","",IF($E372="LONG",K372-O372,K372+O372))</f>
        <v/>
      </c>
      <c r="N372" s="7" t="n"/>
      <c r="O372" s="8">
        <f>IF(OR($E372="",AP372=""),"",ROUNDUP(ROUND(MAX(IF($E372="LONG",K372-I372,H372-K372),Settings!$B$9*AP372),6),2))</f>
        <v/>
      </c>
      <c r="P372" s="8">
        <f>IF($E372="","",N372*Settings!$B$4)</f>
        <v/>
      </c>
      <c r="Q372" s="9">
        <f>IF(O372="","",MIN(INT(ROUND(P372/O372,6)),INT(ROUND(Settings!$B$5/K372,6))))</f>
        <v/>
      </c>
      <c r="R372" s="8">
        <f>IF(O372="","",Q372*O372)</f>
        <v/>
      </c>
      <c r="S372" s="8">
        <f>IF(O372="","",IF($E372="LONG",K372+Settings!$B$6*O372,K372-Settings!$B$6*O372))</f>
        <v/>
      </c>
      <c r="T372" s="7" t="n"/>
      <c r="V372" s="8">
        <f>IF(OR($E372="",T372=""),"",IF($E372="LONG",(T372-L372)*Q372,(L372-T372)*Q372))</f>
        <v/>
      </c>
      <c r="W372" s="10">
        <f>IF(V372="","",V372/N372)</f>
        <v/>
      </c>
      <c r="X372" s="11">
        <f>IF(V372="","",V372/R372)</f>
        <v/>
      </c>
      <c r="Y372" s="8">
        <f>IF(OR($E372="",L372=""),"",IF($E372="LONG",L372-K372,K372-L372))</f>
        <v/>
      </c>
      <c r="AP372" s="7" t="n"/>
    </row>
    <row r="373">
      <c r="H373" s="7" t="n"/>
      <c r="I373" s="7" t="n"/>
      <c r="J373" s="8">
        <f>IF($E373="","",MAX(Settings!$B$7,ROUND(Settings!$B$8*IF($E373="LONG",H373,I373),2)))</f>
        <v/>
      </c>
      <c r="K373" s="8">
        <f>IF($E373="","",IF($E373="LONG",H373+J373,I373-J373))</f>
        <v/>
      </c>
      <c r="L373" s="7" t="n"/>
      <c r="M373" s="8">
        <f>IF($E373="","",IF($E373="LONG",K373-O373,K373+O373))</f>
        <v/>
      </c>
      <c r="N373" s="7" t="n"/>
      <c r="O373" s="8">
        <f>IF(OR($E373="",AP373=""),"",ROUNDUP(ROUND(MAX(IF($E373="LONG",K373-I373,H373-K373),Settings!$B$9*AP373),6),2))</f>
        <v/>
      </c>
      <c r="P373" s="8">
        <f>IF($E373="","",N373*Settings!$B$4)</f>
        <v/>
      </c>
      <c r="Q373" s="9">
        <f>IF(O373="","",MIN(INT(ROUND(P373/O373,6)),INT(ROUND(Settings!$B$5/K373,6))))</f>
        <v/>
      </c>
      <c r="R373" s="8">
        <f>IF(O373="","",Q373*O373)</f>
        <v/>
      </c>
      <c r="S373" s="8">
        <f>IF(O373="","",IF($E373="LONG",K373+Settings!$B$6*O373,K373-Settings!$B$6*O373))</f>
        <v/>
      </c>
      <c r="T373" s="7" t="n"/>
      <c r="V373" s="8">
        <f>IF(OR($E373="",T373=""),"",IF($E373="LONG",(T373-L373)*Q373,(L373-T373)*Q373))</f>
        <v/>
      </c>
      <c r="W373" s="10">
        <f>IF(V373="","",V373/N373)</f>
        <v/>
      </c>
      <c r="X373" s="11">
        <f>IF(V373="","",V373/R373)</f>
        <v/>
      </c>
      <c r="Y373" s="8">
        <f>IF(OR($E373="",L373=""),"",IF($E373="LONG",L373-K373,K373-L373))</f>
        <v/>
      </c>
      <c r="AP373" s="7" t="n"/>
    </row>
    <row r="374">
      <c r="H374" s="7" t="n"/>
      <c r="I374" s="7" t="n"/>
      <c r="J374" s="8">
        <f>IF($E374="","",MAX(Settings!$B$7,ROUND(Settings!$B$8*IF($E374="LONG",H374,I374),2)))</f>
        <v/>
      </c>
      <c r="K374" s="8">
        <f>IF($E374="","",IF($E374="LONG",H374+J374,I374-J374))</f>
        <v/>
      </c>
      <c r="L374" s="7" t="n"/>
      <c r="M374" s="8">
        <f>IF($E374="","",IF($E374="LONG",K374-O374,K374+O374))</f>
        <v/>
      </c>
      <c r="N374" s="7" t="n"/>
      <c r="O374" s="8">
        <f>IF(OR($E374="",AP374=""),"",ROUNDUP(ROUND(MAX(IF($E374="LONG",K374-I374,H374-K374),Settings!$B$9*AP374),6),2))</f>
        <v/>
      </c>
      <c r="P374" s="8">
        <f>IF($E374="","",N374*Settings!$B$4)</f>
        <v/>
      </c>
      <c r="Q374" s="9">
        <f>IF(O374="","",MIN(INT(ROUND(P374/O374,6)),INT(ROUND(Settings!$B$5/K374,6))))</f>
        <v/>
      </c>
      <c r="R374" s="8">
        <f>IF(O374="","",Q374*O374)</f>
        <v/>
      </c>
      <c r="S374" s="8">
        <f>IF(O374="","",IF($E374="LONG",K374+Settings!$B$6*O374,K374-Settings!$B$6*O374))</f>
        <v/>
      </c>
      <c r="T374" s="7" t="n"/>
      <c r="V374" s="8">
        <f>IF(OR($E374="",T374=""),"",IF($E374="LONG",(T374-L374)*Q374,(L374-T374)*Q374))</f>
        <v/>
      </c>
      <c r="W374" s="10">
        <f>IF(V374="","",V374/N374)</f>
        <v/>
      </c>
      <c r="X374" s="11">
        <f>IF(V374="","",V374/R374)</f>
        <v/>
      </c>
      <c r="Y374" s="8">
        <f>IF(OR($E374="",L374=""),"",IF($E374="LONG",L374-K374,K374-L374))</f>
        <v/>
      </c>
      <c r="AP374" s="7" t="n"/>
    </row>
    <row r="375">
      <c r="H375" s="7" t="n"/>
      <c r="I375" s="7" t="n"/>
      <c r="J375" s="8">
        <f>IF($E375="","",MAX(Settings!$B$7,ROUND(Settings!$B$8*IF($E375="LONG",H375,I375),2)))</f>
        <v/>
      </c>
      <c r="K375" s="8">
        <f>IF($E375="","",IF($E375="LONG",H375+J375,I375-J375))</f>
        <v/>
      </c>
      <c r="L375" s="7" t="n"/>
      <c r="M375" s="8">
        <f>IF($E375="","",IF($E375="LONG",K375-O375,K375+O375))</f>
        <v/>
      </c>
      <c r="N375" s="7" t="n"/>
      <c r="O375" s="8">
        <f>IF(OR($E375="",AP375=""),"",ROUNDUP(ROUND(MAX(IF($E375="LONG",K375-I375,H375-K375),Settings!$B$9*AP375),6),2))</f>
        <v/>
      </c>
      <c r="P375" s="8">
        <f>IF($E375="","",N375*Settings!$B$4)</f>
        <v/>
      </c>
      <c r="Q375" s="9">
        <f>IF(O375="","",MIN(INT(ROUND(P375/O375,6)),INT(ROUND(Settings!$B$5/K375,6))))</f>
        <v/>
      </c>
      <c r="R375" s="8">
        <f>IF(O375="","",Q375*O375)</f>
        <v/>
      </c>
      <c r="S375" s="8">
        <f>IF(O375="","",IF($E375="LONG",K375+Settings!$B$6*O375,K375-Settings!$B$6*O375))</f>
        <v/>
      </c>
      <c r="T375" s="7" t="n"/>
      <c r="V375" s="8">
        <f>IF(OR($E375="",T375=""),"",IF($E375="LONG",(T375-L375)*Q375,(L375-T375)*Q375))</f>
        <v/>
      </c>
      <c r="W375" s="10">
        <f>IF(V375="","",V375/N375)</f>
        <v/>
      </c>
      <c r="X375" s="11">
        <f>IF(V375="","",V375/R375)</f>
        <v/>
      </c>
      <c r="Y375" s="8">
        <f>IF(OR($E375="",L375=""),"",IF($E375="LONG",L375-K375,K375-L375))</f>
        <v/>
      </c>
      <c r="AP375" s="7" t="n"/>
    </row>
    <row r="376">
      <c r="H376" s="7" t="n"/>
      <c r="I376" s="7" t="n"/>
      <c r="J376" s="8">
        <f>IF($E376="","",MAX(Settings!$B$7,ROUND(Settings!$B$8*IF($E376="LONG",H376,I376),2)))</f>
        <v/>
      </c>
      <c r="K376" s="8">
        <f>IF($E376="","",IF($E376="LONG",H376+J376,I376-J376))</f>
        <v/>
      </c>
      <c r="L376" s="7" t="n"/>
      <c r="M376" s="8">
        <f>IF($E376="","",IF($E376="LONG",K376-O376,K376+O376))</f>
        <v/>
      </c>
      <c r="N376" s="7" t="n"/>
      <c r="O376" s="8">
        <f>IF(OR($E376="",AP376=""),"",ROUNDUP(ROUND(MAX(IF($E376="LONG",K376-I376,H376-K376),Settings!$B$9*AP376),6),2))</f>
        <v/>
      </c>
      <c r="P376" s="8">
        <f>IF($E376="","",N376*Settings!$B$4)</f>
        <v/>
      </c>
      <c r="Q376" s="9">
        <f>IF(O376="","",MIN(INT(ROUND(P376/O376,6)),INT(ROUND(Settings!$B$5/K376,6))))</f>
        <v/>
      </c>
      <c r="R376" s="8">
        <f>IF(O376="","",Q376*O376)</f>
        <v/>
      </c>
      <c r="S376" s="8">
        <f>IF(O376="","",IF($E376="LONG",K376+Settings!$B$6*O376,K376-Settings!$B$6*O376))</f>
        <v/>
      </c>
      <c r="T376" s="7" t="n"/>
      <c r="V376" s="8">
        <f>IF(OR($E376="",T376=""),"",IF($E376="LONG",(T376-L376)*Q376,(L376-T376)*Q376))</f>
        <v/>
      </c>
      <c r="W376" s="10">
        <f>IF(V376="","",V376/N376)</f>
        <v/>
      </c>
      <c r="X376" s="11">
        <f>IF(V376="","",V376/R376)</f>
        <v/>
      </c>
      <c r="Y376" s="8">
        <f>IF(OR($E376="",L376=""),"",IF($E376="LONG",L376-K376,K376-L376))</f>
        <v/>
      </c>
      <c r="AP376" s="7" t="n"/>
    </row>
    <row r="377">
      <c r="H377" s="7" t="n"/>
      <c r="I377" s="7" t="n"/>
      <c r="J377" s="8">
        <f>IF($E377="","",MAX(Settings!$B$7,ROUND(Settings!$B$8*IF($E377="LONG",H377,I377),2)))</f>
        <v/>
      </c>
      <c r="K377" s="8">
        <f>IF($E377="","",IF($E377="LONG",H377+J377,I377-J377))</f>
        <v/>
      </c>
      <c r="L377" s="7" t="n"/>
      <c r="M377" s="8">
        <f>IF($E377="","",IF($E377="LONG",K377-O377,K377+O377))</f>
        <v/>
      </c>
      <c r="N377" s="7" t="n"/>
      <c r="O377" s="8">
        <f>IF(OR($E377="",AP377=""),"",ROUNDUP(ROUND(MAX(IF($E377="LONG",K377-I377,H377-K377),Settings!$B$9*AP377),6),2))</f>
        <v/>
      </c>
      <c r="P377" s="8">
        <f>IF($E377="","",N377*Settings!$B$4)</f>
        <v/>
      </c>
      <c r="Q377" s="9">
        <f>IF(O377="","",MIN(INT(ROUND(P377/O377,6)),INT(ROUND(Settings!$B$5/K377,6))))</f>
        <v/>
      </c>
      <c r="R377" s="8">
        <f>IF(O377="","",Q377*O377)</f>
        <v/>
      </c>
      <c r="S377" s="8">
        <f>IF(O377="","",IF($E377="LONG",K377+Settings!$B$6*O377,K377-Settings!$B$6*O377))</f>
        <v/>
      </c>
      <c r="T377" s="7" t="n"/>
      <c r="V377" s="8">
        <f>IF(OR($E377="",T377=""),"",IF($E377="LONG",(T377-L377)*Q377,(L377-T377)*Q377))</f>
        <v/>
      </c>
      <c r="W377" s="10">
        <f>IF(V377="","",V377/N377)</f>
        <v/>
      </c>
      <c r="X377" s="11">
        <f>IF(V377="","",V377/R377)</f>
        <v/>
      </c>
      <c r="Y377" s="8">
        <f>IF(OR($E377="",L377=""),"",IF($E377="LONG",L377-K377,K377-L377))</f>
        <v/>
      </c>
      <c r="AP377" s="7" t="n"/>
    </row>
    <row r="378">
      <c r="H378" s="7" t="n"/>
      <c r="I378" s="7" t="n"/>
      <c r="J378" s="8">
        <f>IF($E378="","",MAX(Settings!$B$7,ROUND(Settings!$B$8*IF($E378="LONG",H378,I378),2)))</f>
        <v/>
      </c>
      <c r="K378" s="8">
        <f>IF($E378="","",IF($E378="LONG",H378+J378,I378-J378))</f>
        <v/>
      </c>
      <c r="L378" s="7" t="n"/>
      <c r="M378" s="8">
        <f>IF($E378="","",IF($E378="LONG",K378-O378,K378+O378))</f>
        <v/>
      </c>
      <c r="N378" s="7" t="n"/>
      <c r="O378" s="8">
        <f>IF(OR($E378="",AP378=""),"",ROUNDUP(ROUND(MAX(IF($E378="LONG",K378-I378,H378-K378),Settings!$B$9*AP378),6),2))</f>
        <v/>
      </c>
      <c r="P378" s="8">
        <f>IF($E378="","",N378*Settings!$B$4)</f>
        <v/>
      </c>
      <c r="Q378" s="9">
        <f>IF(O378="","",MIN(INT(ROUND(P378/O378,6)),INT(ROUND(Settings!$B$5/K378,6))))</f>
        <v/>
      </c>
      <c r="R378" s="8">
        <f>IF(O378="","",Q378*O378)</f>
        <v/>
      </c>
      <c r="S378" s="8">
        <f>IF(O378="","",IF($E378="LONG",K378+Settings!$B$6*O378,K378-Settings!$B$6*O378))</f>
        <v/>
      </c>
      <c r="T378" s="7" t="n"/>
      <c r="V378" s="8">
        <f>IF(OR($E378="",T378=""),"",IF($E378="LONG",(T378-L378)*Q378,(L378-T378)*Q378))</f>
        <v/>
      </c>
      <c r="W378" s="10">
        <f>IF(V378="","",V378/N378)</f>
        <v/>
      </c>
      <c r="X378" s="11">
        <f>IF(V378="","",V378/R378)</f>
        <v/>
      </c>
      <c r="Y378" s="8">
        <f>IF(OR($E378="",L378=""),"",IF($E378="LONG",L378-K378,K378-L378))</f>
        <v/>
      </c>
      <c r="AP378" s="7" t="n"/>
    </row>
    <row r="379">
      <c r="H379" s="7" t="n"/>
      <c r="I379" s="7" t="n"/>
      <c r="J379" s="8">
        <f>IF($E379="","",MAX(Settings!$B$7,ROUND(Settings!$B$8*IF($E379="LONG",H379,I379),2)))</f>
        <v/>
      </c>
      <c r="K379" s="8">
        <f>IF($E379="","",IF($E379="LONG",H379+J379,I379-J379))</f>
        <v/>
      </c>
      <c r="L379" s="7" t="n"/>
      <c r="M379" s="8">
        <f>IF($E379="","",IF($E379="LONG",K379-O379,K379+O379))</f>
        <v/>
      </c>
      <c r="N379" s="7" t="n"/>
      <c r="O379" s="8">
        <f>IF(OR($E379="",AP379=""),"",ROUNDUP(ROUND(MAX(IF($E379="LONG",K379-I379,H379-K379),Settings!$B$9*AP379),6),2))</f>
        <v/>
      </c>
      <c r="P379" s="8">
        <f>IF($E379="","",N379*Settings!$B$4)</f>
        <v/>
      </c>
      <c r="Q379" s="9">
        <f>IF(O379="","",MIN(INT(ROUND(P379/O379,6)),INT(ROUND(Settings!$B$5/K379,6))))</f>
        <v/>
      </c>
      <c r="R379" s="8">
        <f>IF(O379="","",Q379*O379)</f>
        <v/>
      </c>
      <c r="S379" s="8">
        <f>IF(O379="","",IF($E379="LONG",K379+Settings!$B$6*O379,K379-Settings!$B$6*O379))</f>
        <v/>
      </c>
      <c r="T379" s="7" t="n"/>
      <c r="V379" s="8">
        <f>IF(OR($E379="",T379=""),"",IF($E379="LONG",(T379-L379)*Q379,(L379-T379)*Q379))</f>
        <v/>
      </c>
      <c r="W379" s="10">
        <f>IF(V379="","",V379/N379)</f>
        <v/>
      </c>
      <c r="X379" s="11">
        <f>IF(V379="","",V379/R379)</f>
        <v/>
      </c>
      <c r="Y379" s="8">
        <f>IF(OR($E379="",L379=""),"",IF($E379="LONG",L379-K379,K379-L379))</f>
        <v/>
      </c>
      <c r="AP379" s="7" t="n"/>
    </row>
    <row r="380">
      <c r="H380" s="7" t="n"/>
      <c r="I380" s="7" t="n"/>
      <c r="J380" s="8">
        <f>IF($E380="","",MAX(Settings!$B$7,ROUND(Settings!$B$8*IF($E380="LONG",H380,I380),2)))</f>
        <v/>
      </c>
      <c r="K380" s="8">
        <f>IF($E380="","",IF($E380="LONG",H380+J380,I380-J380))</f>
        <v/>
      </c>
      <c r="L380" s="7" t="n"/>
      <c r="M380" s="8">
        <f>IF($E380="","",IF($E380="LONG",K380-O380,K380+O380))</f>
        <v/>
      </c>
      <c r="N380" s="7" t="n"/>
      <c r="O380" s="8">
        <f>IF(OR($E380="",AP380=""),"",ROUNDUP(ROUND(MAX(IF($E380="LONG",K380-I380,H380-K380),Settings!$B$9*AP380),6),2))</f>
        <v/>
      </c>
      <c r="P380" s="8">
        <f>IF($E380="","",N380*Settings!$B$4)</f>
        <v/>
      </c>
      <c r="Q380" s="9">
        <f>IF(O380="","",MIN(INT(ROUND(P380/O380,6)),INT(ROUND(Settings!$B$5/K380,6))))</f>
        <v/>
      </c>
      <c r="R380" s="8">
        <f>IF(O380="","",Q380*O380)</f>
        <v/>
      </c>
      <c r="S380" s="8">
        <f>IF(O380="","",IF($E380="LONG",K380+Settings!$B$6*O380,K380-Settings!$B$6*O380))</f>
        <v/>
      </c>
      <c r="T380" s="7" t="n"/>
      <c r="V380" s="8">
        <f>IF(OR($E380="",T380=""),"",IF($E380="LONG",(T380-L380)*Q380,(L380-T380)*Q380))</f>
        <v/>
      </c>
      <c r="W380" s="10">
        <f>IF(V380="","",V380/N380)</f>
        <v/>
      </c>
      <c r="X380" s="11">
        <f>IF(V380="","",V380/R380)</f>
        <v/>
      </c>
      <c r="Y380" s="8">
        <f>IF(OR($E380="",L380=""),"",IF($E380="LONG",L380-K380,K380-L380))</f>
        <v/>
      </c>
      <c r="AP380" s="7" t="n"/>
    </row>
    <row r="381">
      <c r="H381" s="7" t="n"/>
      <c r="I381" s="7" t="n"/>
      <c r="J381" s="8">
        <f>IF($E381="","",MAX(Settings!$B$7,ROUND(Settings!$B$8*IF($E381="LONG",H381,I381),2)))</f>
        <v/>
      </c>
      <c r="K381" s="8">
        <f>IF($E381="","",IF($E381="LONG",H381+J381,I381-J381))</f>
        <v/>
      </c>
      <c r="L381" s="7" t="n"/>
      <c r="M381" s="8">
        <f>IF($E381="","",IF($E381="LONG",K381-O381,K381+O381))</f>
        <v/>
      </c>
      <c r="N381" s="7" t="n"/>
      <c r="O381" s="8">
        <f>IF(OR($E381="",AP381=""),"",ROUNDUP(ROUND(MAX(IF($E381="LONG",K381-I381,H381-K381),Settings!$B$9*AP381),6),2))</f>
        <v/>
      </c>
      <c r="P381" s="8">
        <f>IF($E381="","",N381*Settings!$B$4)</f>
        <v/>
      </c>
      <c r="Q381" s="9">
        <f>IF(O381="","",MIN(INT(ROUND(P381/O381,6)),INT(ROUND(Settings!$B$5/K381,6))))</f>
        <v/>
      </c>
      <c r="R381" s="8">
        <f>IF(O381="","",Q381*O381)</f>
        <v/>
      </c>
      <c r="S381" s="8">
        <f>IF(O381="","",IF($E381="LONG",K381+Settings!$B$6*O381,K381-Settings!$B$6*O381))</f>
        <v/>
      </c>
      <c r="T381" s="7" t="n"/>
      <c r="V381" s="8">
        <f>IF(OR($E381="",T381=""),"",IF($E381="LONG",(T381-L381)*Q381,(L381-T381)*Q381))</f>
        <v/>
      </c>
      <c r="W381" s="10">
        <f>IF(V381="","",V381/N381)</f>
        <v/>
      </c>
      <c r="X381" s="11">
        <f>IF(V381="","",V381/R381)</f>
        <v/>
      </c>
      <c r="Y381" s="8">
        <f>IF(OR($E381="",L381=""),"",IF($E381="LONG",L381-K381,K381-L381))</f>
        <v/>
      </c>
      <c r="AP381" s="7" t="n"/>
    </row>
    <row r="382">
      <c r="H382" s="7" t="n"/>
      <c r="I382" s="7" t="n"/>
      <c r="J382" s="8">
        <f>IF($E382="","",MAX(Settings!$B$7,ROUND(Settings!$B$8*IF($E382="LONG",H382,I382),2)))</f>
        <v/>
      </c>
      <c r="K382" s="8">
        <f>IF($E382="","",IF($E382="LONG",H382+J382,I382-J382))</f>
        <v/>
      </c>
      <c r="L382" s="7" t="n"/>
      <c r="M382" s="8">
        <f>IF($E382="","",IF($E382="LONG",K382-O382,K382+O382))</f>
        <v/>
      </c>
      <c r="N382" s="7" t="n"/>
      <c r="O382" s="8">
        <f>IF(OR($E382="",AP382=""),"",ROUNDUP(ROUND(MAX(IF($E382="LONG",K382-I382,H382-K382),Settings!$B$9*AP382),6),2))</f>
        <v/>
      </c>
      <c r="P382" s="8">
        <f>IF($E382="","",N382*Settings!$B$4)</f>
        <v/>
      </c>
      <c r="Q382" s="9">
        <f>IF(O382="","",MIN(INT(ROUND(P382/O382,6)),INT(ROUND(Settings!$B$5/K382,6))))</f>
        <v/>
      </c>
      <c r="R382" s="8">
        <f>IF(O382="","",Q382*O382)</f>
        <v/>
      </c>
      <c r="S382" s="8">
        <f>IF(O382="","",IF($E382="LONG",K382+Settings!$B$6*O382,K382-Settings!$B$6*O382))</f>
        <v/>
      </c>
      <c r="T382" s="7" t="n"/>
      <c r="V382" s="8">
        <f>IF(OR($E382="",T382=""),"",IF($E382="LONG",(T382-L382)*Q382,(L382-T382)*Q382))</f>
        <v/>
      </c>
      <c r="W382" s="10">
        <f>IF(V382="","",V382/N382)</f>
        <v/>
      </c>
      <c r="X382" s="11">
        <f>IF(V382="","",V382/R382)</f>
        <v/>
      </c>
      <c r="Y382" s="8">
        <f>IF(OR($E382="",L382=""),"",IF($E382="LONG",L382-K382,K382-L382))</f>
        <v/>
      </c>
      <c r="AP382" s="7" t="n"/>
    </row>
    <row r="383">
      <c r="H383" s="7" t="n"/>
      <c r="I383" s="7" t="n"/>
      <c r="J383" s="8">
        <f>IF($E383="","",MAX(Settings!$B$7,ROUND(Settings!$B$8*IF($E383="LONG",H383,I383),2)))</f>
        <v/>
      </c>
      <c r="K383" s="8">
        <f>IF($E383="","",IF($E383="LONG",H383+J383,I383-J383))</f>
        <v/>
      </c>
      <c r="L383" s="7" t="n"/>
      <c r="M383" s="8">
        <f>IF($E383="","",IF($E383="LONG",K383-O383,K383+O383))</f>
        <v/>
      </c>
      <c r="N383" s="7" t="n"/>
      <c r="O383" s="8">
        <f>IF(OR($E383="",AP383=""),"",ROUNDUP(ROUND(MAX(IF($E383="LONG",K383-I383,H383-K383),Settings!$B$9*AP383),6),2))</f>
        <v/>
      </c>
      <c r="P383" s="8">
        <f>IF($E383="","",N383*Settings!$B$4)</f>
        <v/>
      </c>
      <c r="Q383" s="9">
        <f>IF(O383="","",MIN(INT(ROUND(P383/O383,6)),INT(ROUND(Settings!$B$5/K383,6))))</f>
        <v/>
      </c>
      <c r="R383" s="8">
        <f>IF(O383="","",Q383*O383)</f>
        <v/>
      </c>
      <c r="S383" s="8">
        <f>IF(O383="","",IF($E383="LONG",K383+Settings!$B$6*O383,K383-Settings!$B$6*O383))</f>
        <v/>
      </c>
      <c r="T383" s="7" t="n"/>
      <c r="V383" s="8">
        <f>IF(OR($E383="",T383=""),"",IF($E383="LONG",(T383-L383)*Q383,(L383-T383)*Q383))</f>
        <v/>
      </c>
      <c r="W383" s="10">
        <f>IF(V383="","",V383/N383)</f>
        <v/>
      </c>
      <c r="X383" s="11">
        <f>IF(V383="","",V383/R383)</f>
        <v/>
      </c>
      <c r="Y383" s="8">
        <f>IF(OR($E383="",L383=""),"",IF($E383="LONG",L383-K383,K383-L383))</f>
        <v/>
      </c>
      <c r="AP383" s="7" t="n"/>
    </row>
    <row r="384">
      <c r="H384" s="7" t="n"/>
      <c r="I384" s="7" t="n"/>
      <c r="J384" s="8">
        <f>IF($E384="","",MAX(Settings!$B$7,ROUND(Settings!$B$8*IF($E384="LONG",H384,I384),2)))</f>
        <v/>
      </c>
      <c r="K384" s="8">
        <f>IF($E384="","",IF($E384="LONG",H384+J384,I384-J384))</f>
        <v/>
      </c>
      <c r="L384" s="7" t="n"/>
      <c r="M384" s="8">
        <f>IF($E384="","",IF($E384="LONG",K384-O384,K384+O384))</f>
        <v/>
      </c>
      <c r="N384" s="7" t="n"/>
      <c r="O384" s="8">
        <f>IF(OR($E384="",AP384=""),"",ROUNDUP(ROUND(MAX(IF($E384="LONG",K384-I384,H384-K384),Settings!$B$9*AP384),6),2))</f>
        <v/>
      </c>
      <c r="P384" s="8">
        <f>IF($E384="","",N384*Settings!$B$4)</f>
        <v/>
      </c>
      <c r="Q384" s="9">
        <f>IF(O384="","",MIN(INT(ROUND(P384/O384,6)),INT(ROUND(Settings!$B$5/K384,6))))</f>
        <v/>
      </c>
      <c r="R384" s="8">
        <f>IF(O384="","",Q384*O384)</f>
        <v/>
      </c>
      <c r="S384" s="8">
        <f>IF(O384="","",IF($E384="LONG",K384+Settings!$B$6*O384,K384-Settings!$B$6*O384))</f>
        <v/>
      </c>
      <c r="T384" s="7" t="n"/>
      <c r="V384" s="8">
        <f>IF(OR($E384="",T384=""),"",IF($E384="LONG",(T384-L384)*Q384,(L384-T384)*Q384))</f>
        <v/>
      </c>
      <c r="W384" s="10">
        <f>IF(V384="","",V384/N384)</f>
        <v/>
      </c>
      <c r="X384" s="11">
        <f>IF(V384="","",V384/R384)</f>
        <v/>
      </c>
      <c r="Y384" s="8">
        <f>IF(OR($E384="",L384=""),"",IF($E384="LONG",L384-K384,K384-L384))</f>
        <v/>
      </c>
      <c r="AP384" s="7" t="n"/>
    </row>
    <row r="385">
      <c r="H385" s="7" t="n"/>
      <c r="I385" s="7" t="n"/>
      <c r="J385" s="8">
        <f>IF($E385="","",MAX(Settings!$B$7,ROUND(Settings!$B$8*IF($E385="LONG",H385,I385),2)))</f>
        <v/>
      </c>
      <c r="K385" s="8">
        <f>IF($E385="","",IF($E385="LONG",H385+J385,I385-J385))</f>
        <v/>
      </c>
      <c r="L385" s="7" t="n"/>
      <c r="M385" s="8">
        <f>IF($E385="","",IF($E385="LONG",K385-O385,K385+O385))</f>
        <v/>
      </c>
      <c r="N385" s="7" t="n"/>
      <c r="O385" s="8">
        <f>IF(OR($E385="",AP385=""),"",ROUNDUP(ROUND(MAX(IF($E385="LONG",K385-I385,H385-K385),Settings!$B$9*AP385),6),2))</f>
        <v/>
      </c>
      <c r="P385" s="8">
        <f>IF($E385="","",N385*Settings!$B$4)</f>
        <v/>
      </c>
      <c r="Q385" s="9">
        <f>IF(O385="","",MIN(INT(ROUND(P385/O385,6)),INT(ROUND(Settings!$B$5/K385,6))))</f>
        <v/>
      </c>
      <c r="R385" s="8">
        <f>IF(O385="","",Q385*O385)</f>
        <v/>
      </c>
      <c r="S385" s="8">
        <f>IF(O385="","",IF($E385="LONG",K385+Settings!$B$6*O385,K385-Settings!$B$6*O385))</f>
        <v/>
      </c>
      <c r="T385" s="7" t="n"/>
      <c r="V385" s="8">
        <f>IF(OR($E385="",T385=""),"",IF($E385="LONG",(T385-L385)*Q385,(L385-T385)*Q385))</f>
        <v/>
      </c>
      <c r="W385" s="10">
        <f>IF(V385="","",V385/N385)</f>
        <v/>
      </c>
      <c r="X385" s="11">
        <f>IF(V385="","",V385/R385)</f>
        <v/>
      </c>
      <c r="Y385" s="8">
        <f>IF(OR($E385="",L385=""),"",IF($E385="LONG",L385-K385,K385-L385))</f>
        <v/>
      </c>
      <c r="AP385" s="7" t="n"/>
    </row>
    <row r="386">
      <c r="H386" s="7" t="n"/>
      <c r="I386" s="7" t="n"/>
      <c r="J386" s="8">
        <f>IF($E386="","",MAX(Settings!$B$7,ROUND(Settings!$B$8*IF($E386="LONG",H386,I386),2)))</f>
        <v/>
      </c>
      <c r="K386" s="8">
        <f>IF($E386="","",IF($E386="LONG",H386+J386,I386-J386))</f>
        <v/>
      </c>
      <c r="L386" s="7" t="n"/>
      <c r="M386" s="8">
        <f>IF($E386="","",IF($E386="LONG",K386-O386,K386+O386))</f>
        <v/>
      </c>
      <c r="N386" s="7" t="n"/>
      <c r="O386" s="8">
        <f>IF(OR($E386="",AP386=""),"",ROUNDUP(ROUND(MAX(IF($E386="LONG",K386-I386,H386-K386),Settings!$B$9*AP386),6),2))</f>
        <v/>
      </c>
      <c r="P386" s="8">
        <f>IF($E386="","",N386*Settings!$B$4)</f>
        <v/>
      </c>
      <c r="Q386" s="9">
        <f>IF(O386="","",MIN(INT(ROUND(P386/O386,6)),INT(ROUND(Settings!$B$5/K386,6))))</f>
        <v/>
      </c>
      <c r="R386" s="8">
        <f>IF(O386="","",Q386*O386)</f>
        <v/>
      </c>
      <c r="S386" s="8">
        <f>IF(O386="","",IF($E386="LONG",K386+Settings!$B$6*O386,K386-Settings!$B$6*O386))</f>
        <v/>
      </c>
      <c r="T386" s="7" t="n"/>
      <c r="V386" s="8">
        <f>IF(OR($E386="",T386=""),"",IF($E386="LONG",(T386-L386)*Q386,(L386-T386)*Q386))</f>
        <v/>
      </c>
      <c r="W386" s="10">
        <f>IF(V386="","",V386/N386)</f>
        <v/>
      </c>
      <c r="X386" s="11">
        <f>IF(V386="","",V386/R386)</f>
        <v/>
      </c>
      <c r="Y386" s="8">
        <f>IF(OR($E386="",L386=""),"",IF($E386="LONG",L386-K386,K386-L386))</f>
        <v/>
      </c>
      <c r="AP386" s="7" t="n"/>
    </row>
    <row r="387">
      <c r="H387" s="7" t="n"/>
      <c r="I387" s="7" t="n"/>
      <c r="J387" s="8">
        <f>IF($E387="","",MAX(Settings!$B$7,ROUND(Settings!$B$8*IF($E387="LONG",H387,I387),2)))</f>
        <v/>
      </c>
      <c r="K387" s="8">
        <f>IF($E387="","",IF($E387="LONG",H387+J387,I387-J387))</f>
        <v/>
      </c>
      <c r="L387" s="7" t="n"/>
      <c r="M387" s="8">
        <f>IF($E387="","",IF($E387="LONG",K387-O387,K387+O387))</f>
        <v/>
      </c>
      <c r="N387" s="7" t="n"/>
      <c r="O387" s="8">
        <f>IF(OR($E387="",AP387=""),"",ROUNDUP(ROUND(MAX(IF($E387="LONG",K387-I387,H387-K387),Settings!$B$9*AP387),6),2))</f>
        <v/>
      </c>
      <c r="P387" s="8">
        <f>IF($E387="","",N387*Settings!$B$4)</f>
        <v/>
      </c>
      <c r="Q387" s="9">
        <f>IF(O387="","",MIN(INT(ROUND(P387/O387,6)),INT(ROUND(Settings!$B$5/K387,6))))</f>
        <v/>
      </c>
      <c r="R387" s="8">
        <f>IF(O387="","",Q387*O387)</f>
        <v/>
      </c>
      <c r="S387" s="8">
        <f>IF(O387="","",IF($E387="LONG",K387+Settings!$B$6*O387,K387-Settings!$B$6*O387))</f>
        <v/>
      </c>
      <c r="T387" s="7" t="n"/>
      <c r="V387" s="8">
        <f>IF(OR($E387="",T387=""),"",IF($E387="LONG",(T387-L387)*Q387,(L387-T387)*Q387))</f>
        <v/>
      </c>
      <c r="W387" s="10">
        <f>IF(V387="","",V387/N387)</f>
        <v/>
      </c>
      <c r="X387" s="11">
        <f>IF(V387="","",V387/R387)</f>
        <v/>
      </c>
      <c r="Y387" s="8">
        <f>IF(OR($E387="",L387=""),"",IF($E387="LONG",L387-K387,K387-L387))</f>
        <v/>
      </c>
      <c r="AP387" s="7" t="n"/>
    </row>
    <row r="388">
      <c r="H388" s="7" t="n"/>
      <c r="I388" s="7" t="n"/>
      <c r="J388" s="8">
        <f>IF($E388="","",MAX(Settings!$B$7,ROUND(Settings!$B$8*IF($E388="LONG",H388,I388),2)))</f>
        <v/>
      </c>
      <c r="K388" s="8">
        <f>IF($E388="","",IF($E388="LONG",H388+J388,I388-J388))</f>
        <v/>
      </c>
      <c r="L388" s="7" t="n"/>
      <c r="M388" s="8">
        <f>IF($E388="","",IF($E388="LONG",K388-O388,K388+O388))</f>
        <v/>
      </c>
      <c r="N388" s="7" t="n"/>
      <c r="O388" s="8">
        <f>IF(OR($E388="",AP388=""),"",ROUNDUP(ROUND(MAX(IF($E388="LONG",K388-I388,H388-K388),Settings!$B$9*AP388),6),2))</f>
        <v/>
      </c>
      <c r="P388" s="8">
        <f>IF($E388="","",N388*Settings!$B$4)</f>
        <v/>
      </c>
      <c r="Q388" s="9">
        <f>IF(O388="","",MIN(INT(ROUND(P388/O388,6)),INT(ROUND(Settings!$B$5/K388,6))))</f>
        <v/>
      </c>
      <c r="R388" s="8">
        <f>IF(O388="","",Q388*O388)</f>
        <v/>
      </c>
      <c r="S388" s="8">
        <f>IF(O388="","",IF($E388="LONG",K388+Settings!$B$6*O388,K388-Settings!$B$6*O388))</f>
        <v/>
      </c>
      <c r="T388" s="7" t="n"/>
      <c r="V388" s="8">
        <f>IF(OR($E388="",T388=""),"",IF($E388="LONG",(T388-L388)*Q388,(L388-T388)*Q388))</f>
        <v/>
      </c>
      <c r="W388" s="10">
        <f>IF(V388="","",V388/N388)</f>
        <v/>
      </c>
      <c r="X388" s="11">
        <f>IF(V388="","",V388/R388)</f>
        <v/>
      </c>
      <c r="Y388" s="8">
        <f>IF(OR($E388="",L388=""),"",IF($E388="LONG",L388-K388,K388-L388))</f>
        <v/>
      </c>
      <c r="AP388" s="7" t="n"/>
    </row>
    <row r="389">
      <c r="H389" s="7" t="n"/>
      <c r="I389" s="7" t="n"/>
      <c r="J389" s="8">
        <f>IF($E389="","",MAX(Settings!$B$7,ROUND(Settings!$B$8*IF($E389="LONG",H389,I389),2)))</f>
        <v/>
      </c>
      <c r="K389" s="8">
        <f>IF($E389="","",IF($E389="LONG",H389+J389,I389-J389))</f>
        <v/>
      </c>
      <c r="L389" s="7" t="n"/>
      <c r="M389" s="8">
        <f>IF($E389="","",IF($E389="LONG",K389-O389,K389+O389))</f>
        <v/>
      </c>
      <c r="N389" s="7" t="n"/>
      <c r="O389" s="8">
        <f>IF(OR($E389="",AP389=""),"",ROUNDUP(ROUND(MAX(IF($E389="LONG",K389-I389,H389-K389),Settings!$B$9*AP389),6),2))</f>
        <v/>
      </c>
      <c r="P389" s="8">
        <f>IF($E389="","",N389*Settings!$B$4)</f>
        <v/>
      </c>
      <c r="Q389" s="9">
        <f>IF(O389="","",MIN(INT(ROUND(P389/O389,6)),INT(ROUND(Settings!$B$5/K389,6))))</f>
        <v/>
      </c>
      <c r="R389" s="8">
        <f>IF(O389="","",Q389*O389)</f>
        <v/>
      </c>
      <c r="S389" s="8">
        <f>IF(O389="","",IF($E389="LONG",K389+Settings!$B$6*O389,K389-Settings!$B$6*O389))</f>
        <v/>
      </c>
      <c r="T389" s="7" t="n"/>
      <c r="V389" s="8">
        <f>IF(OR($E389="",T389=""),"",IF($E389="LONG",(T389-L389)*Q389,(L389-T389)*Q389))</f>
        <v/>
      </c>
      <c r="W389" s="10">
        <f>IF(V389="","",V389/N389)</f>
        <v/>
      </c>
      <c r="X389" s="11">
        <f>IF(V389="","",V389/R389)</f>
        <v/>
      </c>
      <c r="Y389" s="8">
        <f>IF(OR($E389="",L389=""),"",IF($E389="LONG",L389-K389,K389-L389))</f>
        <v/>
      </c>
      <c r="AP389" s="7" t="n"/>
    </row>
    <row r="390">
      <c r="H390" s="7" t="n"/>
      <c r="I390" s="7" t="n"/>
      <c r="J390" s="8">
        <f>IF($E390="","",MAX(Settings!$B$7,ROUND(Settings!$B$8*IF($E390="LONG",H390,I390),2)))</f>
        <v/>
      </c>
      <c r="K390" s="8">
        <f>IF($E390="","",IF($E390="LONG",H390+J390,I390-J390))</f>
        <v/>
      </c>
      <c r="L390" s="7" t="n"/>
      <c r="M390" s="8">
        <f>IF($E390="","",IF($E390="LONG",K390-O390,K390+O390))</f>
        <v/>
      </c>
      <c r="N390" s="7" t="n"/>
      <c r="O390" s="8">
        <f>IF(OR($E390="",AP390=""),"",ROUNDUP(ROUND(MAX(IF($E390="LONG",K390-I390,H390-K390),Settings!$B$9*AP390),6),2))</f>
        <v/>
      </c>
      <c r="P390" s="8">
        <f>IF($E390="","",N390*Settings!$B$4)</f>
        <v/>
      </c>
      <c r="Q390" s="9">
        <f>IF(O390="","",MIN(INT(ROUND(P390/O390,6)),INT(ROUND(Settings!$B$5/K390,6))))</f>
        <v/>
      </c>
      <c r="R390" s="8">
        <f>IF(O390="","",Q390*O390)</f>
        <v/>
      </c>
      <c r="S390" s="8">
        <f>IF(O390="","",IF($E390="LONG",K390+Settings!$B$6*O390,K390-Settings!$B$6*O390))</f>
        <v/>
      </c>
      <c r="T390" s="7" t="n"/>
      <c r="V390" s="8">
        <f>IF(OR($E390="",T390=""),"",IF($E390="LONG",(T390-L390)*Q390,(L390-T390)*Q390))</f>
        <v/>
      </c>
      <c r="W390" s="10">
        <f>IF(V390="","",V390/N390)</f>
        <v/>
      </c>
      <c r="X390" s="11">
        <f>IF(V390="","",V390/R390)</f>
        <v/>
      </c>
      <c r="Y390" s="8">
        <f>IF(OR($E390="",L390=""),"",IF($E390="LONG",L390-K390,K390-L390))</f>
        <v/>
      </c>
      <c r="AP390" s="7" t="n"/>
    </row>
    <row r="391">
      <c r="H391" s="7" t="n"/>
      <c r="I391" s="7" t="n"/>
      <c r="J391" s="8">
        <f>IF($E391="","",MAX(Settings!$B$7,ROUND(Settings!$B$8*IF($E391="LONG",H391,I391),2)))</f>
        <v/>
      </c>
      <c r="K391" s="8">
        <f>IF($E391="","",IF($E391="LONG",H391+J391,I391-J391))</f>
        <v/>
      </c>
      <c r="L391" s="7" t="n"/>
      <c r="M391" s="8">
        <f>IF($E391="","",IF($E391="LONG",K391-O391,K391+O391))</f>
        <v/>
      </c>
      <c r="N391" s="7" t="n"/>
      <c r="O391" s="8">
        <f>IF(OR($E391="",AP391=""),"",ROUNDUP(ROUND(MAX(IF($E391="LONG",K391-I391,H391-K391),Settings!$B$9*AP391),6),2))</f>
        <v/>
      </c>
      <c r="P391" s="8">
        <f>IF($E391="","",N391*Settings!$B$4)</f>
        <v/>
      </c>
      <c r="Q391" s="9">
        <f>IF(O391="","",MIN(INT(ROUND(P391/O391,6)),INT(ROUND(Settings!$B$5/K391,6))))</f>
        <v/>
      </c>
      <c r="R391" s="8">
        <f>IF(O391="","",Q391*O391)</f>
        <v/>
      </c>
      <c r="S391" s="8">
        <f>IF(O391="","",IF($E391="LONG",K391+Settings!$B$6*O391,K391-Settings!$B$6*O391))</f>
        <v/>
      </c>
      <c r="T391" s="7" t="n"/>
      <c r="V391" s="8">
        <f>IF(OR($E391="",T391=""),"",IF($E391="LONG",(T391-L391)*Q391,(L391-T391)*Q391))</f>
        <v/>
      </c>
      <c r="W391" s="10">
        <f>IF(V391="","",V391/N391)</f>
        <v/>
      </c>
      <c r="X391" s="11">
        <f>IF(V391="","",V391/R391)</f>
        <v/>
      </c>
      <c r="Y391" s="8">
        <f>IF(OR($E391="",L391=""),"",IF($E391="LONG",L391-K391,K391-L391))</f>
        <v/>
      </c>
      <c r="AP391" s="7" t="n"/>
    </row>
    <row r="392">
      <c r="H392" s="7" t="n"/>
      <c r="I392" s="7" t="n"/>
      <c r="J392" s="8">
        <f>IF($E392="","",MAX(Settings!$B$7,ROUND(Settings!$B$8*IF($E392="LONG",H392,I392),2)))</f>
        <v/>
      </c>
      <c r="K392" s="8">
        <f>IF($E392="","",IF($E392="LONG",H392+J392,I392-J392))</f>
        <v/>
      </c>
      <c r="L392" s="7" t="n"/>
      <c r="M392" s="8">
        <f>IF($E392="","",IF($E392="LONG",K392-O392,K392+O392))</f>
        <v/>
      </c>
      <c r="N392" s="7" t="n"/>
      <c r="O392" s="8">
        <f>IF(OR($E392="",AP392=""),"",ROUNDUP(ROUND(MAX(IF($E392="LONG",K392-I392,H392-K392),Settings!$B$9*AP392),6),2))</f>
        <v/>
      </c>
      <c r="P392" s="8">
        <f>IF($E392="","",N392*Settings!$B$4)</f>
        <v/>
      </c>
      <c r="Q392" s="9">
        <f>IF(O392="","",MIN(INT(ROUND(P392/O392,6)),INT(ROUND(Settings!$B$5/K392,6))))</f>
        <v/>
      </c>
      <c r="R392" s="8">
        <f>IF(O392="","",Q392*O392)</f>
        <v/>
      </c>
      <c r="S392" s="8">
        <f>IF(O392="","",IF($E392="LONG",K392+Settings!$B$6*O392,K392-Settings!$B$6*O392))</f>
        <v/>
      </c>
      <c r="T392" s="7" t="n"/>
      <c r="V392" s="8">
        <f>IF(OR($E392="",T392=""),"",IF($E392="LONG",(T392-L392)*Q392,(L392-T392)*Q392))</f>
        <v/>
      </c>
      <c r="W392" s="10">
        <f>IF(V392="","",V392/N392)</f>
        <v/>
      </c>
      <c r="X392" s="11">
        <f>IF(V392="","",V392/R392)</f>
        <v/>
      </c>
      <c r="Y392" s="8">
        <f>IF(OR($E392="",L392=""),"",IF($E392="LONG",L392-K392,K392-L392))</f>
        <v/>
      </c>
      <c r="AP392" s="7" t="n"/>
    </row>
    <row r="393">
      <c r="H393" s="7" t="n"/>
      <c r="I393" s="7" t="n"/>
      <c r="J393" s="8">
        <f>IF($E393="","",MAX(Settings!$B$7,ROUND(Settings!$B$8*IF($E393="LONG",H393,I393),2)))</f>
        <v/>
      </c>
      <c r="K393" s="8">
        <f>IF($E393="","",IF($E393="LONG",H393+J393,I393-J393))</f>
        <v/>
      </c>
      <c r="L393" s="7" t="n"/>
      <c r="M393" s="8">
        <f>IF($E393="","",IF($E393="LONG",K393-O393,K393+O393))</f>
        <v/>
      </c>
      <c r="N393" s="7" t="n"/>
      <c r="O393" s="8">
        <f>IF(OR($E393="",AP393=""),"",ROUNDUP(ROUND(MAX(IF($E393="LONG",K393-I393,H393-K393),Settings!$B$9*AP393),6),2))</f>
        <v/>
      </c>
      <c r="P393" s="8">
        <f>IF($E393="","",N393*Settings!$B$4)</f>
        <v/>
      </c>
      <c r="Q393" s="9">
        <f>IF(O393="","",MIN(INT(ROUND(P393/O393,6)),INT(ROUND(Settings!$B$5/K393,6))))</f>
        <v/>
      </c>
      <c r="R393" s="8">
        <f>IF(O393="","",Q393*O393)</f>
        <v/>
      </c>
      <c r="S393" s="8">
        <f>IF(O393="","",IF($E393="LONG",K393+Settings!$B$6*O393,K393-Settings!$B$6*O393))</f>
        <v/>
      </c>
      <c r="T393" s="7" t="n"/>
      <c r="V393" s="8">
        <f>IF(OR($E393="",T393=""),"",IF($E393="LONG",(T393-L393)*Q393,(L393-T393)*Q393))</f>
        <v/>
      </c>
      <c r="W393" s="10">
        <f>IF(V393="","",V393/N393)</f>
        <v/>
      </c>
      <c r="X393" s="11">
        <f>IF(V393="","",V393/R393)</f>
        <v/>
      </c>
      <c r="Y393" s="8">
        <f>IF(OR($E393="",L393=""),"",IF($E393="LONG",L393-K393,K393-L393))</f>
        <v/>
      </c>
      <c r="AP393" s="7" t="n"/>
    </row>
    <row r="394">
      <c r="H394" s="7" t="n"/>
      <c r="I394" s="7" t="n"/>
      <c r="J394" s="8">
        <f>IF($E394="","",MAX(Settings!$B$7,ROUND(Settings!$B$8*IF($E394="LONG",H394,I394),2)))</f>
        <v/>
      </c>
      <c r="K394" s="8">
        <f>IF($E394="","",IF($E394="LONG",H394+J394,I394-J394))</f>
        <v/>
      </c>
      <c r="L394" s="7" t="n"/>
      <c r="M394" s="8">
        <f>IF($E394="","",IF($E394="LONG",K394-O394,K394+O394))</f>
        <v/>
      </c>
      <c r="N394" s="7" t="n"/>
      <c r="O394" s="8">
        <f>IF(OR($E394="",AP394=""),"",ROUNDUP(ROUND(MAX(IF($E394="LONG",K394-I394,H394-K394),Settings!$B$9*AP394),6),2))</f>
        <v/>
      </c>
      <c r="P394" s="8">
        <f>IF($E394="","",N394*Settings!$B$4)</f>
        <v/>
      </c>
      <c r="Q394" s="9">
        <f>IF(O394="","",MIN(INT(ROUND(P394/O394,6)),INT(ROUND(Settings!$B$5/K394,6))))</f>
        <v/>
      </c>
      <c r="R394" s="8">
        <f>IF(O394="","",Q394*O394)</f>
        <v/>
      </c>
      <c r="S394" s="8">
        <f>IF(O394="","",IF($E394="LONG",K394+Settings!$B$6*O394,K394-Settings!$B$6*O394))</f>
        <v/>
      </c>
      <c r="T394" s="7" t="n"/>
      <c r="V394" s="8">
        <f>IF(OR($E394="",T394=""),"",IF($E394="LONG",(T394-L394)*Q394,(L394-T394)*Q394))</f>
        <v/>
      </c>
      <c r="W394" s="10">
        <f>IF(V394="","",V394/N394)</f>
        <v/>
      </c>
      <c r="X394" s="11">
        <f>IF(V394="","",V394/R394)</f>
        <v/>
      </c>
      <c r="Y394" s="8">
        <f>IF(OR($E394="",L394=""),"",IF($E394="LONG",L394-K394,K394-L394))</f>
        <v/>
      </c>
      <c r="AP394" s="7" t="n"/>
    </row>
    <row r="395">
      <c r="H395" s="7" t="n"/>
      <c r="I395" s="7" t="n"/>
      <c r="J395" s="8">
        <f>IF($E395="","",MAX(Settings!$B$7,ROUND(Settings!$B$8*IF($E395="LONG",H395,I395),2)))</f>
        <v/>
      </c>
      <c r="K395" s="8">
        <f>IF($E395="","",IF($E395="LONG",H395+J395,I395-J395))</f>
        <v/>
      </c>
      <c r="L395" s="7" t="n"/>
      <c r="M395" s="8">
        <f>IF($E395="","",IF($E395="LONG",K395-O395,K395+O395))</f>
        <v/>
      </c>
      <c r="N395" s="7" t="n"/>
      <c r="O395" s="8">
        <f>IF(OR($E395="",AP395=""),"",ROUNDUP(ROUND(MAX(IF($E395="LONG",K395-I395,H395-K395),Settings!$B$9*AP395),6),2))</f>
        <v/>
      </c>
      <c r="P395" s="8">
        <f>IF($E395="","",N395*Settings!$B$4)</f>
        <v/>
      </c>
      <c r="Q395" s="9">
        <f>IF(O395="","",MIN(INT(ROUND(P395/O395,6)),INT(ROUND(Settings!$B$5/K395,6))))</f>
        <v/>
      </c>
      <c r="R395" s="8">
        <f>IF(O395="","",Q395*O395)</f>
        <v/>
      </c>
      <c r="S395" s="8">
        <f>IF(O395="","",IF($E395="LONG",K395+Settings!$B$6*O395,K395-Settings!$B$6*O395))</f>
        <v/>
      </c>
      <c r="T395" s="7" t="n"/>
      <c r="V395" s="8">
        <f>IF(OR($E395="",T395=""),"",IF($E395="LONG",(T395-L395)*Q395,(L395-T395)*Q395))</f>
        <v/>
      </c>
      <c r="W395" s="10">
        <f>IF(V395="","",V395/N395)</f>
        <v/>
      </c>
      <c r="X395" s="11">
        <f>IF(V395="","",V395/R395)</f>
        <v/>
      </c>
      <c r="Y395" s="8">
        <f>IF(OR($E395="",L395=""),"",IF($E395="LONG",L395-K395,K395-L395))</f>
        <v/>
      </c>
      <c r="AP395" s="7" t="n"/>
    </row>
    <row r="396">
      <c r="H396" s="7" t="n"/>
      <c r="I396" s="7" t="n"/>
      <c r="J396" s="8">
        <f>IF($E396="","",MAX(Settings!$B$7,ROUND(Settings!$B$8*IF($E396="LONG",H396,I396),2)))</f>
        <v/>
      </c>
      <c r="K396" s="8">
        <f>IF($E396="","",IF($E396="LONG",H396+J396,I396-J396))</f>
        <v/>
      </c>
      <c r="L396" s="7" t="n"/>
      <c r="M396" s="8">
        <f>IF($E396="","",IF($E396="LONG",K396-O396,K396+O396))</f>
        <v/>
      </c>
      <c r="N396" s="7" t="n"/>
      <c r="O396" s="8">
        <f>IF(OR($E396="",AP396=""),"",ROUNDUP(ROUND(MAX(IF($E396="LONG",K396-I396,H396-K396),Settings!$B$9*AP396),6),2))</f>
        <v/>
      </c>
      <c r="P396" s="8">
        <f>IF($E396="","",N396*Settings!$B$4)</f>
        <v/>
      </c>
      <c r="Q396" s="9">
        <f>IF(O396="","",MIN(INT(ROUND(P396/O396,6)),INT(ROUND(Settings!$B$5/K396,6))))</f>
        <v/>
      </c>
      <c r="R396" s="8">
        <f>IF(O396="","",Q396*O396)</f>
        <v/>
      </c>
      <c r="S396" s="8">
        <f>IF(O396="","",IF($E396="LONG",K396+Settings!$B$6*O396,K396-Settings!$B$6*O396))</f>
        <v/>
      </c>
      <c r="T396" s="7" t="n"/>
      <c r="V396" s="8">
        <f>IF(OR($E396="",T396=""),"",IF($E396="LONG",(T396-L396)*Q396,(L396-T396)*Q396))</f>
        <v/>
      </c>
      <c r="W396" s="10">
        <f>IF(V396="","",V396/N396)</f>
        <v/>
      </c>
      <c r="X396" s="11">
        <f>IF(V396="","",V396/R396)</f>
        <v/>
      </c>
      <c r="Y396" s="8">
        <f>IF(OR($E396="",L396=""),"",IF($E396="LONG",L396-K396,K396-L396))</f>
        <v/>
      </c>
      <c r="AP396" s="7" t="n"/>
    </row>
    <row r="397">
      <c r="H397" s="7" t="n"/>
      <c r="I397" s="7" t="n"/>
      <c r="J397" s="8">
        <f>IF($E397="","",MAX(Settings!$B$7,ROUND(Settings!$B$8*IF($E397="LONG",H397,I397),2)))</f>
        <v/>
      </c>
      <c r="K397" s="8">
        <f>IF($E397="","",IF($E397="LONG",H397+J397,I397-J397))</f>
        <v/>
      </c>
      <c r="L397" s="7" t="n"/>
      <c r="M397" s="8">
        <f>IF($E397="","",IF($E397="LONG",K397-O397,K397+O397))</f>
        <v/>
      </c>
      <c r="N397" s="7" t="n"/>
      <c r="O397" s="8">
        <f>IF(OR($E397="",AP397=""),"",ROUNDUP(ROUND(MAX(IF($E397="LONG",K397-I397,H397-K397),Settings!$B$9*AP397),6),2))</f>
        <v/>
      </c>
      <c r="P397" s="8">
        <f>IF($E397="","",N397*Settings!$B$4)</f>
        <v/>
      </c>
      <c r="Q397" s="9">
        <f>IF(O397="","",MIN(INT(ROUND(P397/O397,6)),INT(ROUND(Settings!$B$5/K397,6))))</f>
        <v/>
      </c>
      <c r="R397" s="8">
        <f>IF(O397="","",Q397*O397)</f>
        <v/>
      </c>
      <c r="S397" s="8">
        <f>IF(O397="","",IF($E397="LONG",K397+Settings!$B$6*O397,K397-Settings!$B$6*O397))</f>
        <v/>
      </c>
      <c r="T397" s="7" t="n"/>
      <c r="V397" s="8">
        <f>IF(OR($E397="",T397=""),"",IF($E397="LONG",(T397-L397)*Q397,(L397-T397)*Q397))</f>
        <v/>
      </c>
      <c r="W397" s="10">
        <f>IF(V397="","",V397/N397)</f>
        <v/>
      </c>
      <c r="X397" s="11">
        <f>IF(V397="","",V397/R397)</f>
        <v/>
      </c>
      <c r="Y397" s="8">
        <f>IF(OR($E397="",L397=""),"",IF($E397="LONG",L397-K397,K397-L397))</f>
        <v/>
      </c>
      <c r="AP397" s="7" t="n"/>
    </row>
    <row r="398">
      <c r="H398" s="7" t="n"/>
      <c r="I398" s="7" t="n"/>
      <c r="J398" s="8">
        <f>IF($E398="","",MAX(Settings!$B$7,ROUND(Settings!$B$8*IF($E398="LONG",H398,I398),2)))</f>
        <v/>
      </c>
      <c r="K398" s="8">
        <f>IF($E398="","",IF($E398="LONG",H398+J398,I398-J398))</f>
        <v/>
      </c>
      <c r="L398" s="7" t="n"/>
      <c r="M398" s="8">
        <f>IF($E398="","",IF($E398="LONG",K398-O398,K398+O398))</f>
        <v/>
      </c>
      <c r="N398" s="7" t="n"/>
      <c r="O398" s="8">
        <f>IF(OR($E398="",AP398=""),"",ROUNDUP(ROUND(MAX(IF($E398="LONG",K398-I398,H398-K398),Settings!$B$9*AP398),6),2))</f>
        <v/>
      </c>
      <c r="P398" s="8">
        <f>IF($E398="","",N398*Settings!$B$4)</f>
        <v/>
      </c>
      <c r="Q398" s="9">
        <f>IF(O398="","",MIN(INT(ROUND(P398/O398,6)),INT(ROUND(Settings!$B$5/K398,6))))</f>
        <v/>
      </c>
      <c r="R398" s="8">
        <f>IF(O398="","",Q398*O398)</f>
        <v/>
      </c>
      <c r="S398" s="8">
        <f>IF(O398="","",IF($E398="LONG",K398+Settings!$B$6*O398,K398-Settings!$B$6*O398))</f>
        <v/>
      </c>
      <c r="T398" s="7" t="n"/>
      <c r="V398" s="8">
        <f>IF(OR($E398="",T398=""),"",IF($E398="LONG",(T398-L398)*Q398,(L398-T398)*Q398))</f>
        <v/>
      </c>
      <c r="W398" s="10">
        <f>IF(V398="","",V398/N398)</f>
        <v/>
      </c>
      <c r="X398" s="11">
        <f>IF(V398="","",V398/R398)</f>
        <v/>
      </c>
      <c r="Y398" s="8">
        <f>IF(OR($E398="",L398=""),"",IF($E398="LONG",L398-K398,K398-L398))</f>
        <v/>
      </c>
      <c r="AP398" s="7" t="n"/>
    </row>
    <row r="399">
      <c r="H399" s="7" t="n"/>
      <c r="I399" s="7" t="n"/>
      <c r="J399" s="8">
        <f>IF($E399="","",MAX(Settings!$B$7,ROUND(Settings!$B$8*IF($E399="LONG",H399,I399),2)))</f>
        <v/>
      </c>
      <c r="K399" s="8">
        <f>IF($E399="","",IF($E399="LONG",H399+J399,I399-J399))</f>
        <v/>
      </c>
      <c r="L399" s="7" t="n"/>
      <c r="M399" s="8">
        <f>IF($E399="","",IF($E399="LONG",K399-O399,K399+O399))</f>
        <v/>
      </c>
      <c r="N399" s="7" t="n"/>
      <c r="O399" s="8">
        <f>IF(OR($E399="",AP399=""),"",ROUNDUP(ROUND(MAX(IF($E399="LONG",K399-I399,H399-K399),Settings!$B$9*AP399),6),2))</f>
        <v/>
      </c>
      <c r="P399" s="8">
        <f>IF($E399="","",N399*Settings!$B$4)</f>
        <v/>
      </c>
      <c r="Q399" s="9">
        <f>IF(O399="","",MIN(INT(ROUND(P399/O399,6)),INT(ROUND(Settings!$B$5/K399,6))))</f>
        <v/>
      </c>
      <c r="R399" s="8">
        <f>IF(O399="","",Q399*O399)</f>
        <v/>
      </c>
      <c r="S399" s="8">
        <f>IF(O399="","",IF($E399="LONG",K399+Settings!$B$6*O399,K399-Settings!$B$6*O399))</f>
        <v/>
      </c>
      <c r="T399" s="7" t="n"/>
      <c r="V399" s="8">
        <f>IF(OR($E399="",T399=""),"",IF($E399="LONG",(T399-L399)*Q399,(L399-T399)*Q399))</f>
        <v/>
      </c>
      <c r="W399" s="10">
        <f>IF(V399="","",V399/N399)</f>
        <v/>
      </c>
      <c r="X399" s="11">
        <f>IF(V399="","",V399/R399)</f>
        <v/>
      </c>
      <c r="Y399" s="8">
        <f>IF(OR($E399="",L399=""),"",IF($E399="LONG",L399-K399,K399-L399))</f>
        <v/>
      </c>
      <c r="AP399" s="7" t="n"/>
    </row>
    <row r="400">
      <c r="H400" s="7" t="n"/>
      <c r="I400" s="7" t="n"/>
      <c r="J400" s="8">
        <f>IF($E400="","",MAX(Settings!$B$7,ROUND(Settings!$B$8*IF($E400="LONG",H400,I400),2)))</f>
        <v/>
      </c>
      <c r="K400" s="8">
        <f>IF($E400="","",IF($E400="LONG",H400+J400,I400-J400))</f>
        <v/>
      </c>
      <c r="L400" s="7" t="n"/>
      <c r="M400" s="8">
        <f>IF($E400="","",IF($E400="LONG",K400-O400,K400+O400))</f>
        <v/>
      </c>
      <c r="N400" s="7" t="n"/>
      <c r="O400" s="8">
        <f>IF(OR($E400="",AP400=""),"",ROUNDUP(ROUND(MAX(IF($E400="LONG",K400-I400,H400-K400),Settings!$B$9*AP400),6),2))</f>
        <v/>
      </c>
      <c r="P400" s="8">
        <f>IF($E400="","",N400*Settings!$B$4)</f>
        <v/>
      </c>
      <c r="Q400" s="9">
        <f>IF(O400="","",MIN(INT(ROUND(P400/O400,6)),INT(ROUND(Settings!$B$5/K400,6))))</f>
        <v/>
      </c>
      <c r="R400" s="8">
        <f>IF(O400="","",Q400*O400)</f>
        <v/>
      </c>
      <c r="S400" s="8">
        <f>IF(O400="","",IF($E400="LONG",K400+Settings!$B$6*O400,K400-Settings!$B$6*O400))</f>
        <v/>
      </c>
      <c r="T400" s="7" t="n"/>
      <c r="V400" s="8">
        <f>IF(OR($E400="",T400=""),"",IF($E400="LONG",(T400-L400)*Q400,(L400-T400)*Q400))</f>
        <v/>
      </c>
      <c r="W400" s="10">
        <f>IF(V400="","",V400/N400)</f>
        <v/>
      </c>
      <c r="X400" s="11">
        <f>IF(V400="","",V400/R400)</f>
        <v/>
      </c>
      <c r="Y400" s="8">
        <f>IF(OR($E400="",L400=""),"",IF($E400="LONG",L400-K400,K400-L400))</f>
        <v/>
      </c>
      <c r="AP400" s="7" t="n"/>
    </row>
    <row r="401">
      <c r="H401" s="7" t="n"/>
      <c r="I401" s="7" t="n"/>
      <c r="J401" s="8">
        <f>IF($E401="","",MAX(Settings!$B$7,ROUND(Settings!$B$8*IF($E401="LONG",H401,I401),2)))</f>
        <v/>
      </c>
      <c r="K401" s="8">
        <f>IF($E401="","",IF($E401="LONG",H401+J401,I401-J401))</f>
        <v/>
      </c>
      <c r="L401" s="7" t="n"/>
      <c r="M401" s="8">
        <f>IF($E401="","",IF($E401="LONG",K401-O401,K401+O401))</f>
        <v/>
      </c>
      <c r="N401" s="7" t="n"/>
      <c r="O401" s="8">
        <f>IF(OR($E401="",AP401=""),"",ROUNDUP(ROUND(MAX(IF($E401="LONG",K401-I401,H401-K401),Settings!$B$9*AP401),6),2))</f>
        <v/>
      </c>
      <c r="P401" s="8">
        <f>IF($E401="","",N401*Settings!$B$4)</f>
        <v/>
      </c>
      <c r="Q401" s="9">
        <f>IF(O401="","",MIN(INT(ROUND(P401/O401,6)),INT(ROUND(Settings!$B$5/K401,6))))</f>
        <v/>
      </c>
      <c r="R401" s="8">
        <f>IF(O401="","",Q401*O401)</f>
        <v/>
      </c>
      <c r="S401" s="8">
        <f>IF(O401="","",IF($E401="LONG",K401+Settings!$B$6*O401,K401-Settings!$B$6*O401))</f>
        <v/>
      </c>
      <c r="T401" s="7" t="n"/>
      <c r="V401" s="8">
        <f>IF(OR($E401="",T401=""),"",IF($E401="LONG",(T401-L401)*Q401,(L401-T401)*Q401))</f>
        <v/>
      </c>
      <c r="W401" s="10">
        <f>IF(V401="","",V401/N401)</f>
        <v/>
      </c>
      <c r="X401" s="11">
        <f>IF(V401="","",V401/R401)</f>
        <v/>
      </c>
      <c r="Y401" s="8">
        <f>IF(OR($E401="",L401=""),"",IF($E401="LONG",L401-K401,K401-L401))</f>
        <v/>
      </c>
      <c r="AP401" s="7" t="n"/>
    </row>
    <row r="402">
      <c r="H402" s="7" t="n"/>
      <c r="I402" s="7" t="n"/>
      <c r="J402" s="8">
        <f>IF($E402="","",MAX(Settings!$B$7,ROUND(Settings!$B$8*IF($E402="LONG",H402,I402),2)))</f>
        <v/>
      </c>
      <c r="K402" s="8">
        <f>IF($E402="","",IF($E402="LONG",H402+J402,I402-J402))</f>
        <v/>
      </c>
      <c r="L402" s="7" t="n"/>
      <c r="M402" s="8">
        <f>IF($E402="","",IF($E402="LONG",K402-O402,K402+O402))</f>
        <v/>
      </c>
      <c r="N402" s="7" t="n"/>
      <c r="O402" s="8">
        <f>IF(OR($E402="",AP402=""),"",ROUNDUP(ROUND(MAX(IF($E402="LONG",K402-I402,H402-K402),Settings!$B$9*AP402),6),2))</f>
        <v/>
      </c>
      <c r="P402" s="8">
        <f>IF($E402="","",N402*Settings!$B$4)</f>
        <v/>
      </c>
      <c r="Q402" s="9">
        <f>IF(O402="","",MIN(INT(ROUND(P402/O402,6)),INT(ROUND(Settings!$B$5/K402,6))))</f>
        <v/>
      </c>
      <c r="R402" s="8">
        <f>IF(O402="","",Q402*O402)</f>
        <v/>
      </c>
      <c r="S402" s="8">
        <f>IF(O402="","",IF($E402="LONG",K402+Settings!$B$6*O402,K402-Settings!$B$6*O402))</f>
        <v/>
      </c>
      <c r="T402" s="7" t="n"/>
      <c r="V402" s="8">
        <f>IF(OR($E402="",T402=""),"",IF($E402="LONG",(T402-L402)*Q402,(L402-T402)*Q402))</f>
        <v/>
      </c>
      <c r="W402" s="10">
        <f>IF(V402="","",V402/N402)</f>
        <v/>
      </c>
      <c r="X402" s="11">
        <f>IF(V402="","",V402/R402)</f>
        <v/>
      </c>
      <c r="Y402" s="8">
        <f>IF(OR($E402="",L402=""),"",IF($E402="LONG",L402-K402,K402-L402))</f>
        <v/>
      </c>
      <c r="AP402" s="7" t="n"/>
    </row>
    <row r="403">
      <c r="H403" s="7" t="n"/>
      <c r="I403" s="7" t="n"/>
      <c r="J403" s="8">
        <f>IF($E403="","",MAX(Settings!$B$7,ROUND(Settings!$B$8*IF($E403="LONG",H403,I403),2)))</f>
        <v/>
      </c>
      <c r="K403" s="8">
        <f>IF($E403="","",IF($E403="LONG",H403+J403,I403-J403))</f>
        <v/>
      </c>
      <c r="L403" s="7" t="n"/>
      <c r="M403" s="8">
        <f>IF($E403="","",IF($E403="LONG",K403-O403,K403+O403))</f>
        <v/>
      </c>
      <c r="N403" s="7" t="n"/>
      <c r="O403" s="8">
        <f>IF(OR($E403="",AP403=""),"",ROUNDUP(ROUND(MAX(IF($E403="LONG",K403-I403,H403-K403),Settings!$B$9*AP403),6),2))</f>
        <v/>
      </c>
      <c r="P403" s="8">
        <f>IF($E403="","",N403*Settings!$B$4)</f>
        <v/>
      </c>
      <c r="Q403" s="9">
        <f>IF(O403="","",MIN(INT(ROUND(P403/O403,6)),INT(ROUND(Settings!$B$5/K403,6))))</f>
        <v/>
      </c>
      <c r="R403" s="8">
        <f>IF(O403="","",Q403*O403)</f>
        <v/>
      </c>
      <c r="S403" s="8">
        <f>IF(O403="","",IF($E403="LONG",K403+Settings!$B$6*O403,K403-Settings!$B$6*O403))</f>
        <v/>
      </c>
      <c r="T403" s="7" t="n"/>
      <c r="V403" s="8">
        <f>IF(OR($E403="",T403=""),"",IF($E403="LONG",(T403-L403)*Q403,(L403-T403)*Q403))</f>
        <v/>
      </c>
      <c r="W403" s="10">
        <f>IF(V403="","",V403/N403)</f>
        <v/>
      </c>
      <c r="X403" s="11">
        <f>IF(V403="","",V403/R403)</f>
        <v/>
      </c>
      <c r="Y403" s="8">
        <f>IF(OR($E403="",L403=""),"",IF($E403="LONG",L403-K403,K403-L403))</f>
        <v/>
      </c>
      <c r="AP403" s="7" t="n"/>
    </row>
    <row r="404">
      <c r="H404" s="7" t="n"/>
      <c r="I404" s="7" t="n"/>
      <c r="J404" s="8">
        <f>IF($E404="","",MAX(Settings!$B$7,ROUND(Settings!$B$8*IF($E404="LONG",H404,I404),2)))</f>
        <v/>
      </c>
      <c r="K404" s="8">
        <f>IF($E404="","",IF($E404="LONG",H404+J404,I404-J404))</f>
        <v/>
      </c>
      <c r="L404" s="7" t="n"/>
      <c r="M404" s="8">
        <f>IF($E404="","",IF($E404="LONG",K404-O404,K404+O404))</f>
        <v/>
      </c>
      <c r="N404" s="7" t="n"/>
      <c r="O404" s="8">
        <f>IF(OR($E404="",AP404=""),"",ROUNDUP(ROUND(MAX(IF($E404="LONG",K404-I404,H404-K404),Settings!$B$9*AP404),6),2))</f>
        <v/>
      </c>
      <c r="P404" s="8">
        <f>IF($E404="","",N404*Settings!$B$4)</f>
        <v/>
      </c>
      <c r="Q404" s="9">
        <f>IF(O404="","",MIN(INT(ROUND(P404/O404,6)),INT(ROUND(Settings!$B$5/K404,6))))</f>
        <v/>
      </c>
      <c r="R404" s="8">
        <f>IF(O404="","",Q404*O404)</f>
        <v/>
      </c>
      <c r="S404" s="8">
        <f>IF(O404="","",IF($E404="LONG",K404+Settings!$B$6*O404,K404-Settings!$B$6*O404))</f>
        <v/>
      </c>
      <c r="T404" s="7" t="n"/>
      <c r="V404" s="8">
        <f>IF(OR($E404="",T404=""),"",IF($E404="LONG",(T404-L404)*Q404,(L404-T404)*Q404))</f>
        <v/>
      </c>
      <c r="W404" s="10">
        <f>IF(V404="","",V404/N404)</f>
        <v/>
      </c>
      <c r="X404" s="11">
        <f>IF(V404="","",V404/R404)</f>
        <v/>
      </c>
      <c r="Y404" s="8">
        <f>IF(OR($E404="",L404=""),"",IF($E404="LONG",L404-K404,K404-L404))</f>
        <v/>
      </c>
      <c r="AP404" s="7" t="n"/>
    </row>
    <row r="405">
      <c r="H405" s="7" t="n"/>
      <c r="I405" s="7" t="n"/>
      <c r="J405" s="8">
        <f>IF($E405="","",MAX(Settings!$B$7,ROUND(Settings!$B$8*IF($E405="LONG",H405,I405),2)))</f>
        <v/>
      </c>
      <c r="K405" s="8">
        <f>IF($E405="","",IF($E405="LONG",H405+J405,I405-J405))</f>
        <v/>
      </c>
      <c r="L405" s="7" t="n"/>
      <c r="M405" s="8">
        <f>IF($E405="","",IF($E405="LONG",K405-O405,K405+O405))</f>
        <v/>
      </c>
      <c r="N405" s="7" t="n"/>
      <c r="O405" s="8">
        <f>IF(OR($E405="",AP405=""),"",ROUNDUP(ROUND(MAX(IF($E405="LONG",K405-I405,H405-K405),Settings!$B$9*AP405),6),2))</f>
        <v/>
      </c>
      <c r="P405" s="8">
        <f>IF($E405="","",N405*Settings!$B$4)</f>
        <v/>
      </c>
      <c r="Q405" s="9">
        <f>IF(O405="","",MIN(INT(ROUND(P405/O405,6)),INT(ROUND(Settings!$B$5/K405,6))))</f>
        <v/>
      </c>
      <c r="R405" s="8">
        <f>IF(O405="","",Q405*O405)</f>
        <v/>
      </c>
      <c r="S405" s="8">
        <f>IF(O405="","",IF($E405="LONG",K405+Settings!$B$6*O405,K405-Settings!$B$6*O405))</f>
        <v/>
      </c>
      <c r="T405" s="7" t="n"/>
      <c r="V405" s="8">
        <f>IF(OR($E405="",T405=""),"",IF($E405="LONG",(T405-L405)*Q405,(L405-T405)*Q405))</f>
        <v/>
      </c>
      <c r="W405" s="10">
        <f>IF(V405="","",V405/N405)</f>
        <v/>
      </c>
      <c r="X405" s="11">
        <f>IF(V405="","",V405/R405)</f>
        <v/>
      </c>
      <c r="Y405" s="8">
        <f>IF(OR($E405="",L405=""),"",IF($E405="LONG",L405-K405,K405-L405))</f>
        <v/>
      </c>
      <c r="AP405" s="7" t="n"/>
    </row>
    <row r="406">
      <c r="H406" s="7" t="n"/>
      <c r="I406" s="7" t="n"/>
      <c r="J406" s="8">
        <f>IF($E406="","",MAX(Settings!$B$7,ROUND(Settings!$B$8*IF($E406="LONG",H406,I406),2)))</f>
        <v/>
      </c>
      <c r="K406" s="8">
        <f>IF($E406="","",IF($E406="LONG",H406+J406,I406-J406))</f>
        <v/>
      </c>
      <c r="L406" s="7" t="n"/>
      <c r="M406" s="8">
        <f>IF($E406="","",IF($E406="LONG",K406-O406,K406+O406))</f>
        <v/>
      </c>
      <c r="N406" s="7" t="n"/>
      <c r="O406" s="8">
        <f>IF(OR($E406="",AP406=""),"",ROUNDUP(ROUND(MAX(IF($E406="LONG",K406-I406,H406-K406),Settings!$B$9*AP406),6),2))</f>
        <v/>
      </c>
      <c r="P406" s="8">
        <f>IF($E406="","",N406*Settings!$B$4)</f>
        <v/>
      </c>
      <c r="Q406" s="9">
        <f>IF(O406="","",MIN(INT(ROUND(P406/O406,6)),INT(ROUND(Settings!$B$5/K406,6))))</f>
        <v/>
      </c>
      <c r="R406" s="8">
        <f>IF(O406="","",Q406*O406)</f>
        <v/>
      </c>
      <c r="S406" s="8">
        <f>IF(O406="","",IF($E406="LONG",K406+Settings!$B$6*O406,K406-Settings!$B$6*O406))</f>
        <v/>
      </c>
      <c r="T406" s="7" t="n"/>
      <c r="V406" s="8">
        <f>IF(OR($E406="",T406=""),"",IF($E406="LONG",(T406-L406)*Q406,(L406-T406)*Q406))</f>
        <v/>
      </c>
      <c r="W406" s="10">
        <f>IF(V406="","",V406/N406)</f>
        <v/>
      </c>
      <c r="X406" s="11">
        <f>IF(V406="","",V406/R406)</f>
        <v/>
      </c>
      <c r="Y406" s="8">
        <f>IF(OR($E406="",L406=""),"",IF($E406="LONG",L406-K406,K406-L406))</f>
        <v/>
      </c>
      <c r="AP406" s="7" t="n"/>
    </row>
    <row r="407">
      <c r="H407" s="7" t="n"/>
      <c r="I407" s="7" t="n"/>
      <c r="J407" s="8">
        <f>IF($E407="","",MAX(Settings!$B$7,ROUND(Settings!$B$8*IF($E407="LONG",H407,I407),2)))</f>
        <v/>
      </c>
      <c r="K407" s="8">
        <f>IF($E407="","",IF($E407="LONG",H407+J407,I407-J407))</f>
        <v/>
      </c>
      <c r="L407" s="7" t="n"/>
      <c r="M407" s="8">
        <f>IF($E407="","",IF($E407="LONG",K407-O407,K407+O407))</f>
        <v/>
      </c>
      <c r="N407" s="7" t="n"/>
      <c r="O407" s="8">
        <f>IF(OR($E407="",AP407=""),"",ROUNDUP(ROUND(MAX(IF($E407="LONG",K407-I407,H407-K407),Settings!$B$9*AP407),6),2))</f>
        <v/>
      </c>
      <c r="P407" s="8">
        <f>IF($E407="","",N407*Settings!$B$4)</f>
        <v/>
      </c>
      <c r="Q407" s="9">
        <f>IF(O407="","",MIN(INT(ROUND(P407/O407,6)),INT(ROUND(Settings!$B$5/K407,6))))</f>
        <v/>
      </c>
      <c r="R407" s="8">
        <f>IF(O407="","",Q407*O407)</f>
        <v/>
      </c>
      <c r="S407" s="8">
        <f>IF(O407="","",IF($E407="LONG",K407+Settings!$B$6*O407,K407-Settings!$B$6*O407))</f>
        <v/>
      </c>
      <c r="T407" s="7" t="n"/>
      <c r="V407" s="8">
        <f>IF(OR($E407="",T407=""),"",IF($E407="LONG",(T407-L407)*Q407,(L407-T407)*Q407))</f>
        <v/>
      </c>
      <c r="W407" s="10">
        <f>IF(V407="","",V407/N407)</f>
        <v/>
      </c>
      <c r="X407" s="11">
        <f>IF(V407="","",V407/R407)</f>
        <v/>
      </c>
      <c r="Y407" s="8">
        <f>IF(OR($E407="",L407=""),"",IF($E407="LONG",L407-K407,K407-L407))</f>
        <v/>
      </c>
      <c r="AP407" s="7" t="n"/>
    </row>
    <row r="408">
      <c r="H408" s="7" t="n"/>
      <c r="I408" s="7" t="n"/>
      <c r="J408" s="8">
        <f>IF($E408="","",MAX(Settings!$B$7,ROUND(Settings!$B$8*IF($E408="LONG",H408,I408),2)))</f>
        <v/>
      </c>
      <c r="K408" s="8">
        <f>IF($E408="","",IF($E408="LONG",H408+J408,I408-J408))</f>
        <v/>
      </c>
      <c r="L408" s="7" t="n"/>
      <c r="M408" s="8">
        <f>IF($E408="","",IF($E408="LONG",K408-O408,K408+O408))</f>
        <v/>
      </c>
      <c r="N408" s="7" t="n"/>
      <c r="O408" s="8">
        <f>IF(OR($E408="",AP408=""),"",ROUNDUP(ROUND(MAX(IF($E408="LONG",K408-I408,H408-K408),Settings!$B$9*AP408),6),2))</f>
        <v/>
      </c>
      <c r="P408" s="8">
        <f>IF($E408="","",N408*Settings!$B$4)</f>
        <v/>
      </c>
      <c r="Q408" s="9">
        <f>IF(O408="","",MIN(INT(ROUND(P408/O408,6)),INT(ROUND(Settings!$B$5/K408,6))))</f>
        <v/>
      </c>
      <c r="R408" s="8">
        <f>IF(O408="","",Q408*O408)</f>
        <v/>
      </c>
      <c r="S408" s="8">
        <f>IF(O408="","",IF($E408="LONG",K408+Settings!$B$6*O408,K408-Settings!$B$6*O408))</f>
        <v/>
      </c>
      <c r="T408" s="7" t="n"/>
      <c r="V408" s="8">
        <f>IF(OR($E408="",T408=""),"",IF($E408="LONG",(T408-L408)*Q408,(L408-T408)*Q408))</f>
        <v/>
      </c>
      <c r="W408" s="10">
        <f>IF(V408="","",V408/N408)</f>
        <v/>
      </c>
      <c r="X408" s="11">
        <f>IF(V408="","",V408/R408)</f>
        <v/>
      </c>
      <c r="Y408" s="8">
        <f>IF(OR($E408="",L408=""),"",IF($E408="LONG",L408-K408,K408-L408))</f>
        <v/>
      </c>
      <c r="AP408" s="7" t="n"/>
    </row>
    <row r="409">
      <c r="H409" s="7" t="n"/>
      <c r="I409" s="7" t="n"/>
      <c r="J409" s="8">
        <f>IF($E409="","",MAX(Settings!$B$7,ROUND(Settings!$B$8*IF($E409="LONG",H409,I409),2)))</f>
        <v/>
      </c>
      <c r="K409" s="8">
        <f>IF($E409="","",IF($E409="LONG",H409+J409,I409-J409))</f>
        <v/>
      </c>
      <c r="L409" s="7" t="n"/>
      <c r="M409" s="8">
        <f>IF($E409="","",IF($E409="LONG",K409-O409,K409+O409))</f>
        <v/>
      </c>
      <c r="N409" s="7" t="n"/>
      <c r="O409" s="8">
        <f>IF(OR($E409="",AP409=""),"",ROUNDUP(ROUND(MAX(IF($E409="LONG",K409-I409,H409-K409),Settings!$B$9*AP409),6),2))</f>
        <v/>
      </c>
      <c r="P409" s="8">
        <f>IF($E409="","",N409*Settings!$B$4)</f>
        <v/>
      </c>
      <c r="Q409" s="9">
        <f>IF(O409="","",MIN(INT(ROUND(P409/O409,6)),INT(ROUND(Settings!$B$5/K409,6))))</f>
        <v/>
      </c>
      <c r="R409" s="8">
        <f>IF(O409="","",Q409*O409)</f>
        <v/>
      </c>
      <c r="S409" s="8">
        <f>IF(O409="","",IF($E409="LONG",K409+Settings!$B$6*O409,K409-Settings!$B$6*O409))</f>
        <v/>
      </c>
      <c r="T409" s="7" t="n"/>
      <c r="V409" s="8">
        <f>IF(OR($E409="",T409=""),"",IF($E409="LONG",(T409-L409)*Q409,(L409-T409)*Q409))</f>
        <v/>
      </c>
      <c r="W409" s="10">
        <f>IF(V409="","",V409/N409)</f>
        <v/>
      </c>
      <c r="X409" s="11">
        <f>IF(V409="","",V409/R409)</f>
        <v/>
      </c>
      <c r="Y409" s="8">
        <f>IF(OR($E409="",L409=""),"",IF($E409="LONG",L409-K409,K409-L409))</f>
        <v/>
      </c>
      <c r="AP409" s="7" t="n"/>
    </row>
    <row r="410">
      <c r="H410" s="7" t="n"/>
      <c r="I410" s="7" t="n"/>
      <c r="J410" s="8">
        <f>IF($E410="","",MAX(Settings!$B$7,ROUND(Settings!$B$8*IF($E410="LONG",H410,I410),2)))</f>
        <v/>
      </c>
      <c r="K410" s="8">
        <f>IF($E410="","",IF($E410="LONG",H410+J410,I410-J410))</f>
        <v/>
      </c>
      <c r="L410" s="7" t="n"/>
      <c r="M410" s="8">
        <f>IF($E410="","",IF($E410="LONG",K410-O410,K410+O410))</f>
        <v/>
      </c>
      <c r="N410" s="7" t="n"/>
      <c r="O410" s="8">
        <f>IF(OR($E410="",AP410=""),"",ROUNDUP(ROUND(MAX(IF($E410="LONG",K410-I410,H410-K410),Settings!$B$9*AP410),6),2))</f>
        <v/>
      </c>
      <c r="P410" s="8">
        <f>IF($E410="","",N410*Settings!$B$4)</f>
        <v/>
      </c>
      <c r="Q410" s="9">
        <f>IF(O410="","",MIN(INT(ROUND(P410/O410,6)),INT(ROUND(Settings!$B$5/K410,6))))</f>
        <v/>
      </c>
      <c r="R410" s="8">
        <f>IF(O410="","",Q410*O410)</f>
        <v/>
      </c>
      <c r="S410" s="8">
        <f>IF(O410="","",IF($E410="LONG",K410+Settings!$B$6*O410,K410-Settings!$B$6*O410))</f>
        <v/>
      </c>
      <c r="T410" s="7" t="n"/>
      <c r="V410" s="8">
        <f>IF(OR($E410="",T410=""),"",IF($E410="LONG",(T410-L410)*Q410,(L410-T410)*Q410))</f>
        <v/>
      </c>
      <c r="W410" s="10">
        <f>IF(V410="","",V410/N410)</f>
        <v/>
      </c>
      <c r="X410" s="11">
        <f>IF(V410="","",V410/R410)</f>
        <v/>
      </c>
      <c r="Y410" s="8">
        <f>IF(OR($E410="",L410=""),"",IF($E410="LONG",L410-K410,K410-L410))</f>
        <v/>
      </c>
      <c r="AP410" s="7" t="n"/>
    </row>
    <row r="411">
      <c r="H411" s="7" t="n"/>
      <c r="I411" s="7" t="n"/>
      <c r="J411" s="8">
        <f>IF($E411="","",MAX(Settings!$B$7,ROUND(Settings!$B$8*IF($E411="LONG",H411,I411),2)))</f>
        <v/>
      </c>
      <c r="K411" s="8">
        <f>IF($E411="","",IF($E411="LONG",H411+J411,I411-J411))</f>
        <v/>
      </c>
      <c r="L411" s="7" t="n"/>
      <c r="M411" s="8">
        <f>IF($E411="","",IF($E411="LONG",K411-O411,K411+O411))</f>
        <v/>
      </c>
      <c r="N411" s="7" t="n"/>
      <c r="O411" s="8">
        <f>IF(OR($E411="",AP411=""),"",ROUNDUP(ROUND(MAX(IF($E411="LONG",K411-I411,H411-K411),Settings!$B$9*AP411),6),2))</f>
        <v/>
      </c>
      <c r="P411" s="8">
        <f>IF($E411="","",N411*Settings!$B$4)</f>
        <v/>
      </c>
      <c r="Q411" s="9">
        <f>IF(O411="","",MIN(INT(ROUND(P411/O411,6)),INT(ROUND(Settings!$B$5/K411,6))))</f>
        <v/>
      </c>
      <c r="R411" s="8">
        <f>IF(O411="","",Q411*O411)</f>
        <v/>
      </c>
      <c r="S411" s="8">
        <f>IF(O411="","",IF($E411="LONG",K411+Settings!$B$6*O411,K411-Settings!$B$6*O411))</f>
        <v/>
      </c>
      <c r="T411" s="7" t="n"/>
      <c r="V411" s="8">
        <f>IF(OR($E411="",T411=""),"",IF($E411="LONG",(T411-L411)*Q411,(L411-T411)*Q411))</f>
        <v/>
      </c>
      <c r="W411" s="10">
        <f>IF(V411="","",V411/N411)</f>
        <v/>
      </c>
      <c r="X411" s="11">
        <f>IF(V411="","",V411/R411)</f>
        <v/>
      </c>
      <c r="Y411" s="8">
        <f>IF(OR($E411="",L411=""),"",IF($E411="LONG",L411-K411,K411-L411))</f>
        <v/>
      </c>
      <c r="AP411" s="7" t="n"/>
    </row>
    <row r="412">
      <c r="H412" s="7" t="n"/>
      <c r="I412" s="7" t="n"/>
      <c r="J412" s="8">
        <f>IF($E412="","",MAX(Settings!$B$7,ROUND(Settings!$B$8*IF($E412="LONG",H412,I412),2)))</f>
        <v/>
      </c>
      <c r="K412" s="8">
        <f>IF($E412="","",IF($E412="LONG",H412+J412,I412-J412))</f>
        <v/>
      </c>
      <c r="L412" s="7" t="n"/>
      <c r="M412" s="8">
        <f>IF($E412="","",IF($E412="LONG",K412-O412,K412+O412))</f>
        <v/>
      </c>
      <c r="N412" s="7" t="n"/>
      <c r="O412" s="8">
        <f>IF(OR($E412="",AP412=""),"",ROUNDUP(ROUND(MAX(IF($E412="LONG",K412-I412,H412-K412),Settings!$B$9*AP412),6),2))</f>
        <v/>
      </c>
      <c r="P412" s="8">
        <f>IF($E412="","",N412*Settings!$B$4)</f>
        <v/>
      </c>
      <c r="Q412" s="9">
        <f>IF(O412="","",MIN(INT(ROUND(P412/O412,6)),INT(ROUND(Settings!$B$5/K412,6))))</f>
        <v/>
      </c>
      <c r="R412" s="8">
        <f>IF(O412="","",Q412*O412)</f>
        <v/>
      </c>
      <c r="S412" s="8">
        <f>IF(O412="","",IF($E412="LONG",K412+Settings!$B$6*O412,K412-Settings!$B$6*O412))</f>
        <v/>
      </c>
      <c r="T412" s="7" t="n"/>
      <c r="V412" s="8">
        <f>IF(OR($E412="",T412=""),"",IF($E412="LONG",(T412-L412)*Q412,(L412-T412)*Q412))</f>
        <v/>
      </c>
      <c r="W412" s="10">
        <f>IF(V412="","",V412/N412)</f>
        <v/>
      </c>
      <c r="X412" s="11">
        <f>IF(V412="","",V412/R412)</f>
        <v/>
      </c>
      <c r="Y412" s="8">
        <f>IF(OR($E412="",L412=""),"",IF($E412="LONG",L412-K412,K412-L412))</f>
        <v/>
      </c>
      <c r="AP412" s="7" t="n"/>
    </row>
    <row r="413">
      <c r="H413" s="7" t="n"/>
      <c r="I413" s="7" t="n"/>
      <c r="J413" s="8">
        <f>IF($E413="","",MAX(Settings!$B$7,ROUND(Settings!$B$8*IF($E413="LONG",H413,I413),2)))</f>
        <v/>
      </c>
      <c r="K413" s="8">
        <f>IF($E413="","",IF($E413="LONG",H413+J413,I413-J413))</f>
        <v/>
      </c>
      <c r="L413" s="7" t="n"/>
      <c r="M413" s="8">
        <f>IF($E413="","",IF($E413="LONG",K413-O413,K413+O413))</f>
        <v/>
      </c>
      <c r="N413" s="7" t="n"/>
      <c r="O413" s="8">
        <f>IF(OR($E413="",AP413=""),"",ROUNDUP(ROUND(MAX(IF($E413="LONG",K413-I413,H413-K413),Settings!$B$9*AP413),6),2))</f>
        <v/>
      </c>
      <c r="P413" s="8">
        <f>IF($E413="","",N413*Settings!$B$4)</f>
        <v/>
      </c>
      <c r="Q413" s="9">
        <f>IF(O413="","",MIN(INT(ROUND(P413/O413,6)),INT(ROUND(Settings!$B$5/K413,6))))</f>
        <v/>
      </c>
      <c r="R413" s="8">
        <f>IF(O413="","",Q413*O413)</f>
        <v/>
      </c>
      <c r="S413" s="8">
        <f>IF(O413="","",IF($E413="LONG",K413+Settings!$B$6*O413,K413-Settings!$B$6*O413))</f>
        <v/>
      </c>
      <c r="T413" s="7" t="n"/>
      <c r="V413" s="8">
        <f>IF(OR($E413="",T413=""),"",IF($E413="LONG",(T413-L413)*Q413,(L413-T413)*Q413))</f>
        <v/>
      </c>
      <c r="W413" s="10">
        <f>IF(V413="","",V413/N413)</f>
        <v/>
      </c>
      <c r="X413" s="11">
        <f>IF(V413="","",V413/R413)</f>
        <v/>
      </c>
      <c r="Y413" s="8">
        <f>IF(OR($E413="",L413=""),"",IF($E413="LONG",L413-K413,K413-L413))</f>
        <v/>
      </c>
      <c r="AP413" s="7" t="n"/>
    </row>
    <row r="414">
      <c r="H414" s="7" t="n"/>
      <c r="I414" s="7" t="n"/>
      <c r="J414" s="8">
        <f>IF($E414="","",MAX(Settings!$B$7,ROUND(Settings!$B$8*IF($E414="LONG",H414,I414),2)))</f>
        <v/>
      </c>
      <c r="K414" s="8">
        <f>IF($E414="","",IF($E414="LONG",H414+J414,I414-J414))</f>
        <v/>
      </c>
      <c r="L414" s="7" t="n"/>
      <c r="M414" s="8">
        <f>IF($E414="","",IF($E414="LONG",K414-O414,K414+O414))</f>
        <v/>
      </c>
      <c r="N414" s="7" t="n"/>
      <c r="O414" s="8">
        <f>IF(OR($E414="",AP414=""),"",ROUNDUP(ROUND(MAX(IF($E414="LONG",K414-I414,H414-K414),Settings!$B$9*AP414),6),2))</f>
        <v/>
      </c>
      <c r="P414" s="8">
        <f>IF($E414="","",N414*Settings!$B$4)</f>
        <v/>
      </c>
      <c r="Q414" s="9">
        <f>IF(O414="","",MIN(INT(ROUND(P414/O414,6)),INT(ROUND(Settings!$B$5/K414,6))))</f>
        <v/>
      </c>
      <c r="R414" s="8">
        <f>IF(O414="","",Q414*O414)</f>
        <v/>
      </c>
      <c r="S414" s="8">
        <f>IF(O414="","",IF($E414="LONG",K414+Settings!$B$6*O414,K414-Settings!$B$6*O414))</f>
        <v/>
      </c>
      <c r="T414" s="7" t="n"/>
      <c r="V414" s="8">
        <f>IF(OR($E414="",T414=""),"",IF($E414="LONG",(T414-L414)*Q414,(L414-T414)*Q414))</f>
        <v/>
      </c>
      <c r="W414" s="10">
        <f>IF(V414="","",V414/N414)</f>
        <v/>
      </c>
      <c r="X414" s="11">
        <f>IF(V414="","",V414/R414)</f>
        <v/>
      </c>
      <c r="Y414" s="8">
        <f>IF(OR($E414="",L414=""),"",IF($E414="LONG",L414-K414,K414-L414))</f>
        <v/>
      </c>
      <c r="AP414" s="7" t="n"/>
    </row>
    <row r="415">
      <c r="H415" s="7" t="n"/>
      <c r="I415" s="7" t="n"/>
      <c r="J415" s="8">
        <f>IF($E415="","",MAX(Settings!$B$7,ROUND(Settings!$B$8*IF($E415="LONG",H415,I415),2)))</f>
        <v/>
      </c>
      <c r="K415" s="8">
        <f>IF($E415="","",IF($E415="LONG",H415+J415,I415-J415))</f>
        <v/>
      </c>
      <c r="L415" s="7" t="n"/>
      <c r="M415" s="8">
        <f>IF($E415="","",IF($E415="LONG",K415-O415,K415+O415))</f>
        <v/>
      </c>
      <c r="N415" s="7" t="n"/>
      <c r="O415" s="8">
        <f>IF(OR($E415="",AP415=""),"",ROUNDUP(ROUND(MAX(IF($E415="LONG",K415-I415,H415-K415),Settings!$B$9*AP415),6),2))</f>
        <v/>
      </c>
      <c r="P415" s="8">
        <f>IF($E415="","",N415*Settings!$B$4)</f>
        <v/>
      </c>
      <c r="Q415" s="9">
        <f>IF(O415="","",MIN(INT(ROUND(P415/O415,6)),INT(ROUND(Settings!$B$5/K415,6))))</f>
        <v/>
      </c>
      <c r="R415" s="8">
        <f>IF(O415="","",Q415*O415)</f>
        <v/>
      </c>
      <c r="S415" s="8">
        <f>IF(O415="","",IF($E415="LONG",K415+Settings!$B$6*O415,K415-Settings!$B$6*O415))</f>
        <v/>
      </c>
      <c r="T415" s="7" t="n"/>
      <c r="V415" s="8">
        <f>IF(OR($E415="",T415=""),"",IF($E415="LONG",(T415-L415)*Q415,(L415-T415)*Q415))</f>
        <v/>
      </c>
      <c r="W415" s="10">
        <f>IF(V415="","",V415/N415)</f>
        <v/>
      </c>
      <c r="X415" s="11">
        <f>IF(V415="","",V415/R415)</f>
        <v/>
      </c>
      <c r="Y415" s="8">
        <f>IF(OR($E415="",L415=""),"",IF($E415="LONG",L415-K415,K415-L415))</f>
        <v/>
      </c>
      <c r="AP415" s="7" t="n"/>
    </row>
    <row r="416">
      <c r="H416" s="7" t="n"/>
      <c r="I416" s="7" t="n"/>
      <c r="J416" s="8">
        <f>IF($E416="","",MAX(Settings!$B$7,ROUND(Settings!$B$8*IF($E416="LONG",H416,I416),2)))</f>
        <v/>
      </c>
      <c r="K416" s="8">
        <f>IF($E416="","",IF($E416="LONG",H416+J416,I416-J416))</f>
        <v/>
      </c>
      <c r="L416" s="7" t="n"/>
      <c r="M416" s="8">
        <f>IF($E416="","",IF($E416="LONG",K416-O416,K416+O416))</f>
        <v/>
      </c>
      <c r="N416" s="7" t="n"/>
      <c r="O416" s="8">
        <f>IF(OR($E416="",AP416=""),"",ROUNDUP(ROUND(MAX(IF($E416="LONG",K416-I416,H416-K416),Settings!$B$9*AP416),6),2))</f>
        <v/>
      </c>
      <c r="P416" s="8">
        <f>IF($E416="","",N416*Settings!$B$4)</f>
        <v/>
      </c>
      <c r="Q416" s="9">
        <f>IF(O416="","",MIN(INT(ROUND(P416/O416,6)),INT(ROUND(Settings!$B$5/K416,6))))</f>
        <v/>
      </c>
      <c r="R416" s="8">
        <f>IF(O416="","",Q416*O416)</f>
        <v/>
      </c>
      <c r="S416" s="8">
        <f>IF(O416="","",IF($E416="LONG",K416+Settings!$B$6*O416,K416-Settings!$B$6*O416))</f>
        <v/>
      </c>
      <c r="T416" s="7" t="n"/>
      <c r="V416" s="8">
        <f>IF(OR($E416="",T416=""),"",IF($E416="LONG",(T416-L416)*Q416,(L416-T416)*Q416))</f>
        <v/>
      </c>
      <c r="W416" s="10">
        <f>IF(V416="","",V416/N416)</f>
        <v/>
      </c>
      <c r="X416" s="11">
        <f>IF(V416="","",V416/R416)</f>
        <v/>
      </c>
      <c r="Y416" s="8">
        <f>IF(OR($E416="",L416=""),"",IF($E416="LONG",L416-K416,K416-L416))</f>
        <v/>
      </c>
      <c r="AP416" s="7" t="n"/>
    </row>
    <row r="417">
      <c r="H417" s="7" t="n"/>
      <c r="I417" s="7" t="n"/>
      <c r="J417" s="8">
        <f>IF($E417="","",MAX(Settings!$B$7,ROUND(Settings!$B$8*IF($E417="LONG",H417,I417),2)))</f>
        <v/>
      </c>
      <c r="K417" s="8">
        <f>IF($E417="","",IF($E417="LONG",H417+J417,I417-J417))</f>
        <v/>
      </c>
      <c r="L417" s="7" t="n"/>
      <c r="M417" s="8">
        <f>IF($E417="","",IF($E417="LONG",K417-O417,K417+O417))</f>
        <v/>
      </c>
      <c r="N417" s="7" t="n"/>
      <c r="O417" s="8">
        <f>IF(OR($E417="",AP417=""),"",ROUNDUP(ROUND(MAX(IF($E417="LONG",K417-I417,H417-K417),Settings!$B$9*AP417),6),2))</f>
        <v/>
      </c>
      <c r="P417" s="8">
        <f>IF($E417="","",N417*Settings!$B$4)</f>
        <v/>
      </c>
      <c r="Q417" s="9">
        <f>IF(O417="","",MIN(INT(ROUND(P417/O417,6)),INT(ROUND(Settings!$B$5/K417,6))))</f>
        <v/>
      </c>
      <c r="R417" s="8">
        <f>IF(O417="","",Q417*O417)</f>
        <v/>
      </c>
      <c r="S417" s="8">
        <f>IF(O417="","",IF($E417="LONG",K417+Settings!$B$6*O417,K417-Settings!$B$6*O417))</f>
        <v/>
      </c>
      <c r="T417" s="7" t="n"/>
      <c r="V417" s="8">
        <f>IF(OR($E417="",T417=""),"",IF($E417="LONG",(T417-L417)*Q417,(L417-T417)*Q417))</f>
        <v/>
      </c>
      <c r="W417" s="10">
        <f>IF(V417="","",V417/N417)</f>
        <v/>
      </c>
      <c r="X417" s="11">
        <f>IF(V417="","",V417/R417)</f>
        <v/>
      </c>
      <c r="Y417" s="8">
        <f>IF(OR($E417="",L417=""),"",IF($E417="LONG",L417-K417,K417-L417))</f>
        <v/>
      </c>
      <c r="AP417" s="7" t="n"/>
    </row>
    <row r="418">
      <c r="H418" s="7" t="n"/>
      <c r="I418" s="7" t="n"/>
      <c r="J418" s="8">
        <f>IF($E418="","",MAX(Settings!$B$7,ROUND(Settings!$B$8*IF($E418="LONG",H418,I418),2)))</f>
        <v/>
      </c>
      <c r="K418" s="8">
        <f>IF($E418="","",IF($E418="LONG",H418+J418,I418-J418))</f>
        <v/>
      </c>
      <c r="L418" s="7" t="n"/>
      <c r="M418" s="8">
        <f>IF($E418="","",IF($E418="LONG",K418-O418,K418+O418))</f>
        <v/>
      </c>
      <c r="N418" s="7" t="n"/>
      <c r="O418" s="8">
        <f>IF(OR($E418="",AP418=""),"",ROUNDUP(ROUND(MAX(IF($E418="LONG",K418-I418,H418-K418),Settings!$B$9*AP418),6),2))</f>
        <v/>
      </c>
      <c r="P418" s="8">
        <f>IF($E418="","",N418*Settings!$B$4)</f>
        <v/>
      </c>
      <c r="Q418" s="9">
        <f>IF(O418="","",MIN(INT(ROUND(P418/O418,6)),INT(ROUND(Settings!$B$5/K418,6))))</f>
        <v/>
      </c>
      <c r="R418" s="8">
        <f>IF(O418="","",Q418*O418)</f>
        <v/>
      </c>
      <c r="S418" s="8">
        <f>IF(O418="","",IF($E418="LONG",K418+Settings!$B$6*O418,K418-Settings!$B$6*O418))</f>
        <v/>
      </c>
      <c r="T418" s="7" t="n"/>
      <c r="V418" s="8">
        <f>IF(OR($E418="",T418=""),"",IF($E418="LONG",(T418-L418)*Q418,(L418-T418)*Q418))</f>
        <v/>
      </c>
      <c r="W418" s="10">
        <f>IF(V418="","",V418/N418)</f>
        <v/>
      </c>
      <c r="X418" s="11">
        <f>IF(V418="","",V418/R418)</f>
        <v/>
      </c>
      <c r="Y418" s="8">
        <f>IF(OR($E418="",L418=""),"",IF($E418="LONG",L418-K418,K418-L418))</f>
        <v/>
      </c>
      <c r="AP418" s="7" t="n"/>
    </row>
    <row r="419">
      <c r="H419" s="7" t="n"/>
      <c r="I419" s="7" t="n"/>
      <c r="J419" s="8">
        <f>IF($E419="","",MAX(Settings!$B$7,ROUND(Settings!$B$8*IF($E419="LONG",H419,I419),2)))</f>
        <v/>
      </c>
      <c r="K419" s="8">
        <f>IF($E419="","",IF($E419="LONG",H419+J419,I419-J419))</f>
        <v/>
      </c>
      <c r="L419" s="7" t="n"/>
      <c r="M419" s="8">
        <f>IF($E419="","",IF($E419="LONG",K419-O419,K419+O419))</f>
        <v/>
      </c>
      <c r="N419" s="7" t="n"/>
      <c r="O419" s="8">
        <f>IF(OR($E419="",AP419=""),"",ROUNDUP(ROUND(MAX(IF($E419="LONG",K419-I419,H419-K419),Settings!$B$9*AP419),6),2))</f>
        <v/>
      </c>
      <c r="P419" s="8">
        <f>IF($E419="","",N419*Settings!$B$4)</f>
        <v/>
      </c>
      <c r="Q419" s="9">
        <f>IF(O419="","",MIN(INT(ROUND(P419/O419,6)),INT(ROUND(Settings!$B$5/K419,6))))</f>
        <v/>
      </c>
      <c r="R419" s="8">
        <f>IF(O419="","",Q419*O419)</f>
        <v/>
      </c>
      <c r="S419" s="8">
        <f>IF(O419="","",IF($E419="LONG",K419+Settings!$B$6*O419,K419-Settings!$B$6*O419))</f>
        <v/>
      </c>
      <c r="T419" s="7" t="n"/>
      <c r="V419" s="8">
        <f>IF(OR($E419="",T419=""),"",IF($E419="LONG",(T419-L419)*Q419,(L419-T419)*Q419))</f>
        <v/>
      </c>
      <c r="W419" s="10">
        <f>IF(V419="","",V419/N419)</f>
        <v/>
      </c>
      <c r="X419" s="11">
        <f>IF(V419="","",V419/R419)</f>
        <v/>
      </c>
      <c r="Y419" s="8">
        <f>IF(OR($E419="",L419=""),"",IF($E419="LONG",L419-K419,K419-L419))</f>
        <v/>
      </c>
      <c r="AP419" s="7" t="n"/>
    </row>
    <row r="420">
      <c r="H420" s="7" t="n"/>
      <c r="I420" s="7" t="n"/>
      <c r="J420" s="8">
        <f>IF($E420="","",MAX(Settings!$B$7,ROUND(Settings!$B$8*IF($E420="LONG",H420,I420),2)))</f>
        <v/>
      </c>
      <c r="K420" s="8">
        <f>IF($E420="","",IF($E420="LONG",H420+J420,I420-J420))</f>
        <v/>
      </c>
      <c r="L420" s="7" t="n"/>
      <c r="M420" s="8">
        <f>IF($E420="","",IF($E420="LONG",K420-O420,K420+O420))</f>
        <v/>
      </c>
      <c r="N420" s="7" t="n"/>
      <c r="O420" s="8">
        <f>IF(OR($E420="",AP420=""),"",ROUNDUP(ROUND(MAX(IF($E420="LONG",K420-I420,H420-K420),Settings!$B$9*AP420),6),2))</f>
        <v/>
      </c>
      <c r="P420" s="8">
        <f>IF($E420="","",N420*Settings!$B$4)</f>
        <v/>
      </c>
      <c r="Q420" s="9">
        <f>IF(O420="","",MIN(INT(ROUND(P420/O420,6)),INT(ROUND(Settings!$B$5/K420,6))))</f>
        <v/>
      </c>
      <c r="R420" s="8">
        <f>IF(O420="","",Q420*O420)</f>
        <v/>
      </c>
      <c r="S420" s="8">
        <f>IF(O420="","",IF($E420="LONG",K420+Settings!$B$6*O420,K420-Settings!$B$6*O420))</f>
        <v/>
      </c>
      <c r="T420" s="7" t="n"/>
      <c r="V420" s="8">
        <f>IF(OR($E420="",T420=""),"",IF($E420="LONG",(T420-L420)*Q420,(L420-T420)*Q420))</f>
        <v/>
      </c>
      <c r="W420" s="10">
        <f>IF(V420="","",V420/N420)</f>
        <v/>
      </c>
      <c r="X420" s="11">
        <f>IF(V420="","",V420/R420)</f>
        <v/>
      </c>
      <c r="Y420" s="8">
        <f>IF(OR($E420="",L420=""),"",IF($E420="LONG",L420-K420,K420-L420))</f>
        <v/>
      </c>
      <c r="AP420" s="7" t="n"/>
    </row>
    <row r="421">
      <c r="H421" s="7" t="n"/>
      <c r="I421" s="7" t="n"/>
      <c r="J421" s="8">
        <f>IF($E421="","",MAX(Settings!$B$7,ROUND(Settings!$B$8*IF($E421="LONG",H421,I421),2)))</f>
        <v/>
      </c>
      <c r="K421" s="8">
        <f>IF($E421="","",IF($E421="LONG",H421+J421,I421-J421))</f>
        <v/>
      </c>
      <c r="L421" s="7" t="n"/>
      <c r="M421" s="8">
        <f>IF($E421="","",IF($E421="LONG",K421-O421,K421+O421))</f>
        <v/>
      </c>
      <c r="N421" s="7" t="n"/>
      <c r="O421" s="8">
        <f>IF(OR($E421="",AP421=""),"",ROUNDUP(ROUND(MAX(IF($E421="LONG",K421-I421,H421-K421),Settings!$B$9*AP421),6),2))</f>
        <v/>
      </c>
      <c r="P421" s="8">
        <f>IF($E421="","",N421*Settings!$B$4)</f>
        <v/>
      </c>
      <c r="Q421" s="9">
        <f>IF(O421="","",MIN(INT(ROUND(P421/O421,6)),INT(ROUND(Settings!$B$5/K421,6))))</f>
        <v/>
      </c>
      <c r="R421" s="8">
        <f>IF(O421="","",Q421*O421)</f>
        <v/>
      </c>
      <c r="S421" s="8">
        <f>IF(O421="","",IF($E421="LONG",K421+Settings!$B$6*O421,K421-Settings!$B$6*O421))</f>
        <v/>
      </c>
      <c r="T421" s="7" t="n"/>
      <c r="V421" s="8">
        <f>IF(OR($E421="",T421=""),"",IF($E421="LONG",(T421-L421)*Q421,(L421-T421)*Q421))</f>
        <v/>
      </c>
      <c r="W421" s="10">
        <f>IF(V421="","",V421/N421)</f>
        <v/>
      </c>
      <c r="X421" s="11">
        <f>IF(V421="","",V421/R421)</f>
        <v/>
      </c>
      <c r="Y421" s="8">
        <f>IF(OR($E421="",L421=""),"",IF($E421="LONG",L421-K421,K421-L421))</f>
        <v/>
      </c>
      <c r="AP421" s="7" t="n"/>
    </row>
    <row r="422">
      <c r="H422" s="7" t="n"/>
      <c r="I422" s="7" t="n"/>
      <c r="J422" s="8">
        <f>IF($E422="","",MAX(Settings!$B$7,ROUND(Settings!$B$8*IF($E422="LONG",H422,I422),2)))</f>
        <v/>
      </c>
      <c r="K422" s="8">
        <f>IF($E422="","",IF($E422="LONG",H422+J422,I422-J422))</f>
        <v/>
      </c>
      <c r="L422" s="7" t="n"/>
      <c r="M422" s="8">
        <f>IF($E422="","",IF($E422="LONG",K422-O422,K422+O422))</f>
        <v/>
      </c>
      <c r="N422" s="7" t="n"/>
      <c r="O422" s="8">
        <f>IF(OR($E422="",AP422=""),"",ROUNDUP(ROUND(MAX(IF($E422="LONG",K422-I422,H422-K422),Settings!$B$9*AP422),6),2))</f>
        <v/>
      </c>
      <c r="P422" s="8">
        <f>IF($E422="","",N422*Settings!$B$4)</f>
        <v/>
      </c>
      <c r="Q422" s="9">
        <f>IF(O422="","",MIN(INT(ROUND(P422/O422,6)),INT(ROUND(Settings!$B$5/K422,6))))</f>
        <v/>
      </c>
      <c r="R422" s="8">
        <f>IF(O422="","",Q422*O422)</f>
        <v/>
      </c>
      <c r="S422" s="8">
        <f>IF(O422="","",IF($E422="LONG",K422+Settings!$B$6*O422,K422-Settings!$B$6*O422))</f>
        <v/>
      </c>
      <c r="T422" s="7" t="n"/>
      <c r="V422" s="8">
        <f>IF(OR($E422="",T422=""),"",IF($E422="LONG",(T422-L422)*Q422,(L422-T422)*Q422))</f>
        <v/>
      </c>
      <c r="W422" s="10">
        <f>IF(V422="","",V422/N422)</f>
        <v/>
      </c>
      <c r="X422" s="11">
        <f>IF(V422="","",V422/R422)</f>
        <v/>
      </c>
      <c r="Y422" s="8">
        <f>IF(OR($E422="",L422=""),"",IF($E422="LONG",L422-K422,K422-L422))</f>
        <v/>
      </c>
      <c r="AP422" s="7" t="n"/>
    </row>
    <row r="423">
      <c r="H423" s="7" t="n"/>
      <c r="I423" s="7" t="n"/>
      <c r="J423" s="8">
        <f>IF($E423="","",MAX(Settings!$B$7,ROUND(Settings!$B$8*IF($E423="LONG",H423,I423),2)))</f>
        <v/>
      </c>
      <c r="K423" s="8">
        <f>IF($E423="","",IF($E423="LONG",H423+J423,I423-J423))</f>
        <v/>
      </c>
      <c r="L423" s="7" t="n"/>
      <c r="M423" s="8">
        <f>IF($E423="","",IF($E423="LONG",K423-O423,K423+O423))</f>
        <v/>
      </c>
      <c r="N423" s="7" t="n"/>
      <c r="O423" s="8">
        <f>IF(OR($E423="",AP423=""),"",ROUNDUP(ROUND(MAX(IF($E423="LONG",K423-I423,H423-K423),Settings!$B$9*AP423),6),2))</f>
        <v/>
      </c>
      <c r="P423" s="8">
        <f>IF($E423="","",N423*Settings!$B$4)</f>
        <v/>
      </c>
      <c r="Q423" s="9">
        <f>IF(O423="","",MIN(INT(ROUND(P423/O423,6)),INT(ROUND(Settings!$B$5/K423,6))))</f>
        <v/>
      </c>
      <c r="R423" s="8">
        <f>IF(O423="","",Q423*O423)</f>
        <v/>
      </c>
      <c r="S423" s="8">
        <f>IF(O423="","",IF($E423="LONG",K423+Settings!$B$6*O423,K423-Settings!$B$6*O423))</f>
        <v/>
      </c>
      <c r="T423" s="7" t="n"/>
      <c r="V423" s="8">
        <f>IF(OR($E423="",T423=""),"",IF($E423="LONG",(T423-L423)*Q423,(L423-T423)*Q423))</f>
        <v/>
      </c>
      <c r="W423" s="10">
        <f>IF(V423="","",V423/N423)</f>
        <v/>
      </c>
      <c r="X423" s="11">
        <f>IF(V423="","",V423/R423)</f>
        <v/>
      </c>
      <c r="Y423" s="8">
        <f>IF(OR($E423="",L423=""),"",IF($E423="LONG",L423-K423,K423-L423))</f>
        <v/>
      </c>
      <c r="AP423" s="7" t="n"/>
    </row>
    <row r="424">
      <c r="H424" s="7" t="n"/>
      <c r="I424" s="7" t="n"/>
      <c r="J424" s="8">
        <f>IF($E424="","",MAX(Settings!$B$7,ROUND(Settings!$B$8*IF($E424="LONG",H424,I424),2)))</f>
        <v/>
      </c>
      <c r="K424" s="8">
        <f>IF($E424="","",IF($E424="LONG",H424+J424,I424-J424))</f>
        <v/>
      </c>
      <c r="L424" s="7" t="n"/>
      <c r="M424" s="8">
        <f>IF($E424="","",IF($E424="LONG",K424-O424,K424+O424))</f>
        <v/>
      </c>
      <c r="N424" s="7" t="n"/>
      <c r="O424" s="8">
        <f>IF(OR($E424="",AP424=""),"",ROUNDUP(ROUND(MAX(IF($E424="LONG",K424-I424,H424-K424),Settings!$B$9*AP424),6),2))</f>
        <v/>
      </c>
      <c r="P424" s="8">
        <f>IF($E424="","",N424*Settings!$B$4)</f>
        <v/>
      </c>
      <c r="Q424" s="9">
        <f>IF(O424="","",MIN(INT(ROUND(P424/O424,6)),INT(ROUND(Settings!$B$5/K424,6))))</f>
        <v/>
      </c>
      <c r="R424" s="8">
        <f>IF(O424="","",Q424*O424)</f>
        <v/>
      </c>
      <c r="S424" s="8">
        <f>IF(O424="","",IF($E424="LONG",K424+Settings!$B$6*O424,K424-Settings!$B$6*O424))</f>
        <v/>
      </c>
      <c r="T424" s="7" t="n"/>
      <c r="V424" s="8">
        <f>IF(OR($E424="",T424=""),"",IF($E424="LONG",(T424-L424)*Q424,(L424-T424)*Q424))</f>
        <v/>
      </c>
      <c r="W424" s="10">
        <f>IF(V424="","",V424/N424)</f>
        <v/>
      </c>
      <c r="X424" s="11">
        <f>IF(V424="","",V424/R424)</f>
        <v/>
      </c>
      <c r="Y424" s="8">
        <f>IF(OR($E424="",L424=""),"",IF($E424="LONG",L424-K424,K424-L424))</f>
        <v/>
      </c>
      <c r="AP424" s="7" t="n"/>
    </row>
    <row r="425">
      <c r="H425" s="7" t="n"/>
      <c r="I425" s="7" t="n"/>
      <c r="J425" s="8">
        <f>IF($E425="","",MAX(Settings!$B$7,ROUND(Settings!$B$8*IF($E425="LONG",H425,I425),2)))</f>
        <v/>
      </c>
      <c r="K425" s="8">
        <f>IF($E425="","",IF($E425="LONG",H425+J425,I425-J425))</f>
        <v/>
      </c>
      <c r="L425" s="7" t="n"/>
      <c r="M425" s="8">
        <f>IF($E425="","",IF($E425="LONG",K425-O425,K425+O425))</f>
        <v/>
      </c>
      <c r="N425" s="7" t="n"/>
      <c r="O425" s="8">
        <f>IF(OR($E425="",AP425=""),"",ROUNDUP(ROUND(MAX(IF($E425="LONG",K425-I425,H425-K425),Settings!$B$9*AP425),6),2))</f>
        <v/>
      </c>
      <c r="P425" s="8">
        <f>IF($E425="","",N425*Settings!$B$4)</f>
        <v/>
      </c>
      <c r="Q425" s="9">
        <f>IF(O425="","",MIN(INT(ROUND(P425/O425,6)),INT(ROUND(Settings!$B$5/K425,6))))</f>
        <v/>
      </c>
      <c r="R425" s="8">
        <f>IF(O425="","",Q425*O425)</f>
        <v/>
      </c>
      <c r="S425" s="8">
        <f>IF(O425="","",IF($E425="LONG",K425+Settings!$B$6*O425,K425-Settings!$B$6*O425))</f>
        <v/>
      </c>
      <c r="T425" s="7" t="n"/>
      <c r="V425" s="8">
        <f>IF(OR($E425="",T425=""),"",IF($E425="LONG",(T425-L425)*Q425,(L425-T425)*Q425))</f>
        <v/>
      </c>
      <c r="W425" s="10">
        <f>IF(V425="","",V425/N425)</f>
        <v/>
      </c>
      <c r="X425" s="11">
        <f>IF(V425="","",V425/R425)</f>
        <v/>
      </c>
      <c r="Y425" s="8">
        <f>IF(OR($E425="",L425=""),"",IF($E425="LONG",L425-K425,K425-L425))</f>
        <v/>
      </c>
      <c r="AP425" s="7" t="n"/>
    </row>
    <row r="426">
      <c r="H426" s="7" t="n"/>
      <c r="I426" s="7" t="n"/>
      <c r="J426" s="8">
        <f>IF($E426="","",MAX(Settings!$B$7,ROUND(Settings!$B$8*IF($E426="LONG",H426,I426),2)))</f>
        <v/>
      </c>
      <c r="K426" s="8">
        <f>IF($E426="","",IF($E426="LONG",H426+J426,I426-J426))</f>
        <v/>
      </c>
      <c r="L426" s="7" t="n"/>
      <c r="M426" s="8">
        <f>IF($E426="","",IF($E426="LONG",K426-O426,K426+O426))</f>
        <v/>
      </c>
      <c r="N426" s="7" t="n"/>
      <c r="O426" s="8">
        <f>IF(OR($E426="",AP426=""),"",ROUNDUP(ROUND(MAX(IF($E426="LONG",K426-I426,H426-K426),Settings!$B$9*AP426),6),2))</f>
        <v/>
      </c>
      <c r="P426" s="8">
        <f>IF($E426="","",N426*Settings!$B$4)</f>
        <v/>
      </c>
      <c r="Q426" s="9">
        <f>IF(O426="","",MIN(INT(ROUND(P426/O426,6)),INT(ROUND(Settings!$B$5/K426,6))))</f>
        <v/>
      </c>
      <c r="R426" s="8">
        <f>IF(O426="","",Q426*O426)</f>
        <v/>
      </c>
      <c r="S426" s="8">
        <f>IF(O426="","",IF($E426="LONG",K426+Settings!$B$6*O426,K426-Settings!$B$6*O426))</f>
        <v/>
      </c>
      <c r="T426" s="7" t="n"/>
      <c r="V426" s="8">
        <f>IF(OR($E426="",T426=""),"",IF($E426="LONG",(T426-L426)*Q426,(L426-T426)*Q426))</f>
        <v/>
      </c>
      <c r="W426" s="10">
        <f>IF(V426="","",V426/N426)</f>
        <v/>
      </c>
      <c r="X426" s="11">
        <f>IF(V426="","",V426/R426)</f>
        <v/>
      </c>
      <c r="Y426" s="8">
        <f>IF(OR($E426="",L426=""),"",IF($E426="LONG",L426-K426,K426-L426))</f>
        <v/>
      </c>
      <c r="AP426" s="7" t="n"/>
    </row>
    <row r="427">
      <c r="H427" s="7" t="n"/>
      <c r="I427" s="7" t="n"/>
      <c r="J427" s="8">
        <f>IF($E427="","",MAX(Settings!$B$7,ROUND(Settings!$B$8*IF($E427="LONG",H427,I427),2)))</f>
        <v/>
      </c>
      <c r="K427" s="8">
        <f>IF($E427="","",IF($E427="LONG",H427+J427,I427-J427))</f>
        <v/>
      </c>
      <c r="L427" s="7" t="n"/>
      <c r="M427" s="8">
        <f>IF($E427="","",IF($E427="LONG",K427-O427,K427+O427))</f>
        <v/>
      </c>
      <c r="N427" s="7" t="n"/>
      <c r="O427" s="8">
        <f>IF(OR($E427="",AP427=""),"",ROUNDUP(ROUND(MAX(IF($E427="LONG",K427-I427,H427-K427),Settings!$B$9*AP427),6),2))</f>
        <v/>
      </c>
      <c r="P427" s="8">
        <f>IF($E427="","",N427*Settings!$B$4)</f>
        <v/>
      </c>
      <c r="Q427" s="9">
        <f>IF(O427="","",MIN(INT(ROUND(P427/O427,6)),INT(ROUND(Settings!$B$5/K427,6))))</f>
        <v/>
      </c>
      <c r="R427" s="8">
        <f>IF(O427="","",Q427*O427)</f>
        <v/>
      </c>
      <c r="S427" s="8">
        <f>IF(O427="","",IF($E427="LONG",K427+Settings!$B$6*O427,K427-Settings!$B$6*O427))</f>
        <v/>
      </c>
      <c r="T427" s="7" t="n"/>
      <c r="V427" s="8">
        <f>IF(OR($E427="",T427=""),"",IF($E427="LONG",(T427-L427)*Q427,(L427-T427)*Q427))</f>
        <v/>
      </c>
      <c r="W427" s="10">
        <f>IF(V427="","",V427/N427)</f>
        <v/>
      </c>
      <c r="X427" s="11">
        <f>IF(V427="","",V427/R427)</f>
        <v/>
      </c>
      <c r="Y427" s="8">
        <f>IF(OR($E427="",L427=""),"",IF($E427="LONG",L427-K427,K427-L427))</f>
        <v/>
      </c>
      <c r="AP427" s="7" t="n"/>
    </row>
    <row r="428">
      <c r="H428" s="7" t="n"/>
      <c r="I428" s="7" t="n"/>
      <c r="J428" s="8">
        <f>IF($E428="","",MAX(Settings!$B$7,ROUND(Settings!$B$8*IF($E428="LONG",H428,I428),2)))</f>
        <v/>
      </c>
      <c r="K428" s="8">
        <f>IF($E428="","",IF($E428="LONG",H428+J428,I428-J428))</f>
        <v/>
      </c>
      <c r="L428" s="7" t="n"/>
      <c r="M428" s="8">
        <f>IF($E428="","",IF($E428="LONG",K428-O428,K428+O428))</f>
        <v/>
      </c>
      <c r="N428" s="7" t="n"/>
      <c r="O428" s="8">
        <f>IF(OR($E428="",AP428=""),"",ROUNDUP(ROUND(MAX(IF($E428="LONG",K428-I428,H428-K428),Settings!$B$9*AP428),6),2))</f>
        <v/>
      </c>
      <c r="P428" s="8">
        <f>IF($E428="","",N428*Settings!$B$4)</f>
        <v/>
      </c>
      <c r="Q428" s="9">
        <f>IF(O428="","",MIN(INT(ROUND(P428/O428,6)),INT(ROUND(Settings!$B$5/K428,6))))</f>
        <v/>
      </c>
      <c r="R428" s="8">
        <f>IF(O428="","",Q428*O428)</f>
        <v/>
      </c>
      <c r="S428" s="8">
        <f>IF(O428="","",IF($E428="LONG",K428+Settings!$B$6*O428,K428-Settings!$B$6*O428))</f>
        <v/>
      </c>
      <c r="T428" s="7" t="n"/>
      <c r="V428" s="8">
        <f>IF(OR($E428="",T428=""),"",IF($E428="LONG",(T428-L428)*Q428,(L428-T428)*Q428))</f>
        <v/>
      </c>
      <c r="W428" s="10">
        <f>IF(V428="","",V428/N428)</f>
        <v/>
      </c>
      <c r="X428" s="11">
        <f>IF(V428="","",V428/R428)</f>
        <v/>
      </c>
      <c r="Y428" s="8">
        <f>IF(OR($E428="",L428=""),"",IF($E428="LONG",L428-K428,K428-L428))</f>
        <v/>
      </c>
      <c r="AP428" s="7" t="n"/>
    </row>
    <row r="429">
      <c r="H429" s="7" t="n"/>
      <c r="I429" s="7" t="n"/>
      <c r="J429" s="8">
        <f>IF($E429="","",MAX(Settings!$B$7,ROUND(Settings!$B$8*IF($E429="LONG",H429,I429),2)))</f>
        <v/>
      </c>
      <c r="K429" s="8">
        <f>IF($E429="","",IF($E429="LONG",H429+J429,I429-J429))</f>
        <v/>
      </c>
      <c r="L429" s="7" t="n"/>
      <c r="M429" s="8">
        <f>IF($E429="","",IF($E429="LONG",K429-O429,K429+O429))</f>
        <v/>
      </c>
      <c r="N429" s="7" t="n"/>
      <c r="O429" s="8">
        <f>IF(OR($E429="",AP429=""),"",ROUNDUP(ROUND(MAX(IF($E429="LONG",K429-I429,H429-K429),Settings!$B$9*AP429),6),2))</f>
        <v/>
      </c>
      <c r="P429" s="8">
        <f>IF($E429="","",N429*Settings!$B$4)</f>
        <v/>
      </c>
      <c r="Q429" s="9">
        <f>IF(O429="","",MIN(INT(ROUND(P429/O429,6)),INT(ROUND(Settings!$B$5/K429,6))))</f>
        <v/>
      </c>
      <c r="R429" s="8">
        <f>IF(O429="","",Q429*O429)</f>
        <v/>
      </c>
      <c r="S429" s="8">
        <f>IF(O429="","",IF($E429="LONG",K429+Settings!$B$6*O429,K429-Settings!$B$6*O429))</f>
        <v/>
      </c>
      <c r="T429" s="7" t="n"/>
      <c r="V429" s="8">
        <f>IF(OR($E429="",T429=""),"",IF($E429="LONG",(T429-L429)*Q429,(L429-T429)*Q429))</f>
        <v/>
      </c>
      <c r="W429" s="10">
        <f>IF(V429="","",V429/N429)</f>
        <v/>
      </c>
      <c r="X429" s="11">
        <f>IF(V429="","",V429/R429)</f>
        <v/>
      </c>
      <c r="Y429" s="8">
        <f>IF(OR($E429="",L429=""),"",IF($E429="LONG",L429-K429,K429-L429))</f>
        <v/>
      </c>
      <c r="AP429" s="7" t="n"/>
    </row>
    <row r="430">
      <c r="H430" s="7" t="n"/>
      <c r="I430" s="7" t="n"/>
      <c r="J430" s="8">
        <f>IF($E430="","",MAX(Settings!$B$7,ROUND(Settings!$B$8*IF($E430="LONG",H430,I430),2)))</f>
        <v/>
      </c>
      <c r="K430" s="8">
        <f>IF($E430="","",IF($E430="LONG",H430+J430,I430-J430))</f>
        <v/>
      </c>
      <c r="L430" s="7" t="n"/>
      <c r="M430" s="8">
        <f>IF($E430="","",IF($E430="LONG",K430-O430,K430+O430))</f>
        <v/>
      </c>
      <c r="N430" s="7" t="n"/>
      <c r="O430" s="8">
        <f>IF(OR($E430="",AP430=""),"",ROUNDUP(ROUND(MAX(IF($E430="LONG",K430-I430,H430-K430),Settings!$B$9*AP430),6),2))</f>
        <v/>
      </c>
      <c r="P430" s="8">
        <f>IF($E430="","",N430*Settings!$B$4)</f>
        <v/>
      </c>
      <c r="Q430" s="9">
        <f>IF(O430="","",MIN(INT(ROUND(P430/O430,6)),INT(ROUND(Settings!$B$5/K430,6))))</f>
        <v/>
      </c>
      <c r="R430" s="8">
        <f>IF(O430="","",Q430*O430)</f>
        <v/>
      </c>
      <c r="S430" s="8">
        <f>IF(O430="","",IF($E430="LONG",K430+Settings!$B$6*O430,K430-Settings!$B$6*O430))</f>
        <v/>
      </c>
      <c r="T430" s="7" t="n"/>
      <c r="V430" s="8">
        <f>IF(OR($E430="",T430=""),"",IF($E430="LONG",(T430-L430)*Q430,(L430-T430)*Q430))</f>
        <v/>
      </c>
      <c r="W430" s="10">
        <f>IF(V430="","",V430/N430)</f>
        <v/>
      </c>
      <c r="X430" s="11">
        <f>IF(V430="","",V430/R430)</f>
        <v/>
      </c>
      <c r="Y430" s="8">
        <f>IF(OR($E430="",L430=""),"",IF($E430="LONG",L430-K430,K430-L430))</f>
        <v/>
      </c>
      <c r="AP430" s="7" t="n"/>
    </row>
    <row r="431">
      <c r="H431" s="7" t="n"/>
      <c r="I431" s="7" t="n"/>
      <c r="J431" s="8">
        <f>IF($E431="","",MAX(Settings!$B$7,ROUND(Settings!$B$8*IF($E431="LONG",H431,I431),2)))</f>
        <v/>
      </c>
      <c r="K431" s="8">
        <f>IF($E431="","",IF($E431="LONG",H431+J431,I431-J431))</f>
        <v/>
      </c>
      <c r="L431" s="7" t="n"/>
      <c r="M431" s="8">
        <f>IF($E431="","",IF($E431="LONG",K431-O431,K431+O431))</f>
        <v/>
      </c>
      <c r="N431" s="7" t="n"/>
      <c r="O431" s="8">
        <f>IF(OR($E431="",AP431=""),"",ROUNDUP(ROUND(MAX(IF($E431="LONG",K431-I431,H431-K431),Settings!$B$9*AP431),6),2))</f>
        <v/>
      </c>
      <c r="P431" s="8">
        <f>IF($E431="","",N431*Settings!$B$4)</f>
        <v/>
      </c>
      <c r="Q431" s="9">
        <f>IF(O431="","",MIN(INT(ROUND(P431/O431,6)),INT(ROUND(Settings!$B$5/K431,6))))</f>
        <v/>
      </c>
      <c r="R431" s="8">
        <f>IF(O431="","",Q431*O431)</f>
        <v/>
      </c>
      <c r="S431" s="8">
        <f>IF(O431="","",IF($E431="LONG",K431+Settings!$B$6*O431,K431-Settings!$B$6*O431))</f>
        <v/>
      </c>
      <c r="T431" s="7" t="n"/>
      <c r="V431" s="8">
        <f>IF(OR($E431="",T431=""),"",IF($E431="LONG",(T431-L431)*Q431,(L431-T431)*Q431))</f>
        <v/>
      </c>
      <c r="W431" s="10">
        <f>IF(V431="","",V431/N431)</f>
        <v/>
      </c>
      <c r="X431" s="11">
        <f>IF(V431="","",V431/R431)</f>
        <v/>
      </c>
      <c r="Y431" s="8">
        <f>IF(OR($E431="",L431=""),"",IF($E431="LONG",L431-K431,K431-L431))</f>
        <v/>
      </c>
      <c r="AP431" s="7" t="n"/>
    </row>
    <row r="432">
      <c r="H432" s="7" t="n"/>
      <c r="I432" s="7" t="n"/>
      <c r="J432" s="8">
        <f>IF($E432="","",MAX(Settings!$B$7,ROUND(Settings!$B$8*IF($E432="LONG",H432,I432),2)))</f>
        <v/>
      </c>
      <c r="K432" s="8">
        <f>IF($E432="","",IF($E432="LONG",H432+J432,I432-J432))</f>
        <v/>
      </c>
      <c r="L432" s="7" t="n"/>
      <c r="M432" s="8">
        <f>IF($E432="","",IF($E432="LONG",K432-O432,K432+O432))</f>
        <v/>
      </c>
      <c r="N432" s="7" t="n"/>
      <c r="O432" s="8">
        <f>IF(OR($E432="",AP432=""),"",ROUNDUP(ROUND(MAX(IF($E432="LONG",K432-I432,H432-K432),Settings!$B$9*AP432),6),2))</f>
        <v/>
      </c>
      <c r="P432" s="8">
        <f>IF($E432="","",N432*Settings!$B$4)</f>
        <v/>
      </c>
      <c r="Q432" s="9">
        <f>IF(O432="","",MIN(INT(ROUND(P432/O432,6)),INT(ROUND(Settings!$B$5/K432,6))))</f>
        <v/>
      </c>
      <c r="R432" s="8">
        <f>IF(O432="","",Q432*O432)</f>
        <v/>
      </c>
      <c r="S432" s="8">
        <f>IF(O432="","",IF($E432="LONG",K432+Settings!$B$6*O432,K432-Settings!$B$6*O432))</f>
        <v/>
      </c>
      <c r="T432" s="7" t="n"/>
      <c r="V432" s="8">
        <f>IF(OR($E432="",T432=""),"",IF($E432="LONG",(T432-L432)*Q432,(L432-T432)*Q432))</f>
        <v/>
      </c>
      <c r="W432" s="10">
        <f>IF(V432="","",V432/N432)</f>
        <v/>
      </c>
      <c r="X432" s="11">
        <f>IF(V432="","",V432/R432)</f>
        <v/>
      </c>
      <c r="Y432" s="8">
        <f>IF(OR($E432="",L432=""),"",IF($E432="LONG",L432-K432,K432-L432))</f>
        <v/>
      </c>
      <c r="AP432" s="7" t="n"/>
    </row>
    <row r="433">
      <c r="H433" s="7" t="n"/>
      <c r="I433" s="7" t="n"/>
      <c r="J433" s="8">
        <f>IF($E433="","",MAX(Settings!$B$7,ROUND(Settings!$B$8*IF($E433="LONG",H433,I433),2)))</f>
        <v/>
      </c>
      <c r="K433" s="8">
        <f>IF($E433="","",IF($E433="LONG",H433+J433,I433-J433))</f>
        <v/>
      </c>
      <c r="L433" s="7" t="n"/>
      <c r="M433" s="8">
        <f>IF($E433="","",IF($E433="LONG",K433-O433,K433+O433))</f>
        <v/>
      </c>
      <c r="N433" s="7" t="n"/>
      <c r="O433" s="8">
        <f>IF(OR($E433="",AP433=""),"",ROUNDUP(ROUND(MAX(IF($E433="LONG",K433-I433,H433-K433),Settings!$B$9*AP433),6),2))</f>
        <v/>
      </c>
      <c r="P433" s="8">
        <f>IF($E433="","",N433*Settings!$B$4)</f>
        <v/>
      </c>
      <c r="Q433" s="9">
        <f>IF(O433="","",MIN(INT(ROUND(P433/O433,6)),INT(ROUND(Settings!$B$5/K433,6))))</f>
        <v/>
      </c>
      <c r="R433" s="8">
        <f>IF(O433="","",Q433*O433)</f>
        <v/>
      </c>
      <c r="S433" s="8">
        <f>IF(O433="","",IF($E433="LONG",K433+Settings!$B$6*O433,K433-Settings!$B$6*O433))</f>
        <v/>
      </c>
      <c r="T433" s="7" t="n"/>
      <c r="V433" s="8">
        <f>IF(OR($E433="",T433=""),"",IF($E433="LONG",(T433-L433)*Q433,(L433-T433)*Q433))</f>
        <v/>
      </c>
      <c r="W433" s="10">
        <f>IF(V433="","",V433/N433)</f>
        <v/>
      </c>
      <c r="X433" s="11">
        <f>IF(V433="","",V433/R433)</f>
        <v/>
      </c>
      <c r="Y433" s="8">
        <f>IF(OR($E433="",L433=""),"",IF($E433="LONG",L433-K433,K433-L433))</f>
        <v/>
      </c>
      <c r="AP433" s="7" t="n"/>
    </row>
    <row r="434">
      <c r="H434" s="7" t="n"/>
      <c r="I434" s="7" t="n"/>
      <c r="J434" s="8">
        <f>IF($E434="","",MAX(Settings!$B$7,ROUND(Settings!$B$8*IF($E434="LONG",H434,I434),2)))</f>
        <v/>
      </c>
      <c r="K434" s="8">
        <f>IF($E434="","",IF($E434="LONG",H434+J434,I434-J434))</f>
        <v/>
      </c>
      <c r="L434" s="7" t="n"/>
      <c r="M434" s="8">
        <f>IF($E434="","",IF($E434="LONG",K434-O434,K434+O434))</f>
        <v/>
      </c>
      <c r="N434" s="7" t="n"/>
      <c r="O434" s="8">
        <f>IF(OR($E434="",AP434=""),"",ROUNDUP(ROUND(MAX(IF($E434="LONG",K434-I434,H434-K434),Settings!$B$9*AP434),6),2))</f>
        <v/>
      </c>
      <c r="P434" s="8">
        <f>IF($E434="","",N434*Settings!$B$4)</f>
        <v/>
      </c>
      <c r="Q434" s="9">
        <f>IF(O434="","",MIN(INT(ROUND(P434/O434,6)),INT(ROUND(Settings!$B$5/K434,6))))</f>
        <v/>
      </c>
      <c r="R434" s="8">
        <f>IF(O434="","",Q434*O434)</f>
        <v/>
      </c>
      <c r="S434" s="8">
        <f>IF(O434="","",IF($E434="LONG",K434+Settings!$B$6*O434,K434-Settings!$B$6*O434))</f>
        <v/>
      </c>
      <c r="T434" s="7" t="n"/>
      <c r="V434" s="8">
        <f>IF(OR($E434="",T434=""),"",IF($E434="LONG",(T434-L434)*Q434,(L434-T434)*Q434))</f>
        <v/>
      </c>
      <c r="W434" s="10">
        <f>IF(V434="","",V434/N434)</f>
        <v/>
      </c>
      <c r="X434" s="11">
        <f>IF(V434="","",V434/R434)</f>
        <v/>
      </c>
      <c r="Y434" s="8">
        <f>IF(OR($E434="",L434=""),"",IF($E434="LONG",L434-K434,K434-L434))</f>
        <v/>
      </c>
      <c r="AP434" s="7" t="n"/>
    </row>
    <row r="435">
      <c r="H435" s="7" t="n"/>
      <c r="I435" s="7" t="n"/>
      <c r="J435" s="8">
        <f>IF($E435="","",MAX(Settings!$B$7,ROUND(Settings!$B$8*IF($E435="LONG",H435,I435),2)))</f>
        <v/>
      </c>
      <c r="K435" s="8">
        <f>IF($E435="","",IF($E435="LONG",H435+J435,I435-J435))</f>
        <v/>
      </c>
      <c r="L435" s="7" t="n"/>
      <c r="M435" s="8">
        <f>IF($E435="","",IF($E435="LONG",K435-O435,K435+O435))</f>
        <v/>
      </c>
      <c r="N435" s="7" t="n"/>
      <c r="O435" s="8">
        <f>IF(OR($E435="",AP435=""),"",ROUNDUP(ROUND(MAX(IF($E435="LONG",K435-I435,H435-K435),Settings!$B$9*AP435),6),2))</f>
        <v/>
      </c>
      <c r="P435" s="8">
        <f>IF($E435="","",N435*Settings!$B$4)</f>
        <v/>
      </c>
      <c r="Q435" s="9">
        <f>IF(O435="","",MIN(INT(ROUND(P435/O435,6)),INT(ROUND(Settings!$B$5/K435,6))))</f>
        <v/>
      </c>
      <c r="R435" s="8">
        <f>IF(O435="","",Q435*O435)</f>
        <v/>
      </c>
      <c r="S435" s="8">
        <f>IF(O435="","",IF($E435="LONG",K435+Settings!$B$6*O435,K435-Settings!$B$6*O435))</f>
        <v/>
      </c>
      <c r="T435" s="7" t="n"/>
      <c r="V435" s="8">
        <f>IF(OR($E435="",T435=""),"",IF($E435="LONG",(T435-L435)*Q435,(L435-T435)*Q435))</f>
        <v/>
      </c>
      <c r="W435" s="10">
        <f>IF(V435="","",V435/N435)</f>
        <v/>
      </c>
      <c r="X435" s="11">
        <f>IF(V435="","",V435/R435)</f>
        <v/>
      </c>
      <c r="Y435" s="8">
        <f>IF(OR($E435="",L435=""),"",IF($E435="LONG",L435-K435,K435-L435))</f>
        <v/>
      </c>
      <c r="AP435" s="7" t="n"/>
    </row>
    <row r="436">
      <c r="H436" s="7" t="n"/>
      <c r="I436" s="7" t="n"/>
      <c r="J436" s="8">
        <f>IF($E436="","",MAX(Settings!$B$7,ROUND(Settings!$B$8*IF($E436="LONG",H436,I436),2)))</f>
        <v/>
      </c>
      <c r="K436" s="8">
        <f>IF($E436="","",IF($E436="LONG",H436+J436,I436-J436))</f>
        <v/>
      </c>
      <c r="L436" s="7" t="n"/>
      <c r="M436" s="8">
        <f>IF($E436="","",IF($E436="LONG",K436-O436,K436+O436))</f>
        <v/>
      </c>
      <c r="N436" s="7" t="n"/>
      <c r="O436" s="8">
        <f>IF(OR($E436="",AP436=""),"",ROUNDUP(ROUND(MAX(IF($E436="LONG",K436-I436,H436-K436),Settings!$B$9*AP436),6),2))</f>
        <v/>
      </c>
      <c r="P436" s="8">
        <f>IF($E436="","",N436*Settings!$B$4)</f>
        <v/>
      </c>
      <c r="Q436" s="9">
        <f>IF(O436="","",MIN(INT(ROUND(P436/O436,6)),INT(ROUND(Settings!$B$5/K436,6))))</f>
        <v/>
      </c>
      <c r="R436" s="8">
        <f>IF(O436="","",Q436*O436)</f>
        <v/>
      </c>
      <c r="S436" s="8">
        <f>IF(O436="","",IF($E436="LONG",K436+Settings!$B$6*O436,K436-Settings!$B$6*O436))</f>
        <v/>
      </c>
      <c r="T436" s="7" t="n"/>
      <c r="V436" s="8">
        <f>IF(OR($E436="",T436=""),"",IF($E436="LONG",(T436-L436)*Q436,(L436-T436)*Q436))</f>
        <v/>
      </c>
      <c r="W436" s="10">
        <f>IF(V436="","",V436/N436)</f>
        <v/>
      </c>
      <c r="X436" s="11">
        <f>IF(V436="","",V436/R436)</f>
        <v/>
      </c>
      <c r="Y436" s="8">
        <f>IF(OR($E436="",L436=""),"",IF($E436="LONG",L436-K436,K436-L436))</f>
        <v/>
      </c>
      <c r="AP436" s="7" t="n"/>
    </row>
    <row r="437">
      <c r="H437" s="7" t="n"/>
      <c r="I437" s="7" t="n"/>
      <c r="J437" s="8">
        <f>IF($E437="","",MAX(Settings!$B$7,ROUND(Settings!$B$8*IF($E437="LONG",H437,I437),2)))</f>
        <v/>
      </c>
      <c r="K437" s="8">
        <f>IF($E437="","",IF($E437="LONG",H437+J437,I437-J437))</f>
        <v/>
      </c>
      <c r="L437" s="7" t="n"/>
      <c r="M437" s="8">
        <f>IF($E437="","",IF($E437="LONG",K437-O437,K437+O437))</f>
        <v/>
      </c>
      <c r="N437" s="7" t="n"/>
      <c r="O437" s="8">
        <f>IF(OR($E437="",AP437=""),"",ROUNDUP(ROUND(MAX(IF($E437="LONG",K437-I437,H437-K437),Settings!$B$9*AP437),6),2))</f>
        <v/>
      </c>
      <c r="P437" s="8">
        <f>IF($E437="","",N437*Settings!$B$4)</f>
        <v/>
      </c>
      <c r="Q437" s="9">
        <f>IF(O437="","",MIN(INT(ROUND(P437/O437,6)),INT(ROUND(Settings!$B$5/K437,6))))</f>
        <v/>
      </c>
      <c r="R437" s="8">
        <f>IF(O437="","",Q437*O437)</f>
        <v/>
      </c>
      <c r="S437" s="8">
        <f>IF(O437="","",IF($E437="LONG",K437+Settings!$B$6*O437,K437-Settings!$B$6*O437))</f>
        <v/>
      </c>
      <c r="T437" s="7" t="n"/>
      <c r="V437" s="8">
        <f>IF(OR($E437="",T437=""),"",IF($E437="LONG",(T437-L437)*Q437,(L437-T437)*Q437))</f>
        <v/>
      </c>
      <c r="W437" s="10">
        <f>IF(V437="","",V437/N437)</f>
        <v/>
      </c>
      <c r="X437" s="11">
        <f>IF(V437="","",V437/R437)</f>
        <v/>
      </c>
      <c r="Y437" s="8">
        <f>IF(OR($E437="",L437=""),"",IF($E437="LONG",L437-K437,K437-L437))</f>
        <v/>
      </c>
      <c r="AP437" s="7" t="n"/>
    </row>
    <row r="438">
      <c r="H438" s="7" t="n"/>
      <c r="I438" s="7" t="n"/>
      <c r="J438" s="8">
        <f>IF($E438="","",MAX(Settings!$B$7,ROUND(Settings!$B$8*IF($E438="LONG",H438,I438),2)))</f>
        <v/>
      </c>
      <c r="K438" s="8">
        <f>IF($E438="","",IF($E438="LONG",H438+J438,I438-J438))</f>
        <v/>
      </c>
      <c r="L438" s="7" t="n"/>
      <c r="M438" s="8">
        <f>IF($E438="","",IF($E438="LONG",K438-O438,K438+O438))</f>
        <v/>
      </c>
      <c r="N438" s="7" t="n"/>
      <c r="O438" s="8">
        <f>IF(OR($E438="",AP438=""),"",ROUNDUP(ROUND(MAX(IF($E438="LONG",K438-I438,H438-K438),Settings!$B$9*AP438),6),2))</f>
        <v/>
      </c>
      <c r="P438" s="8">
        <f>IF($E438="","",N438*Settings!$B$4)</f>
        <v/>
      </c>
      <c r="Q438" s="9">
        <f>IF(O438="","",MIN(INT(ROUND(P438/O438,6)),INT(ROUND(Settings!$B$5/K438,6))))</f>
        <v/>
      </c>
      <c r="R438" s="8">
        <f>IF(O438="","",Q438*O438)</f>
        <v/>
      </c>
      <c r="S438" s="8">
        <f>IF(O438="","",IF($E438="LONG",K438+Settings!$B$6*O438,K438-Settings!$B$6*O438))</f>
        <v/>
      </c>
      <c r="T438" s="7" t="n"/>
      <c r="V438" s="8">
        <f>IF(OR($E438="",T438=""),"",IF($E438="LONG",(T438-L438)*Q438,(L438-T438)*Q438))</f>
        <v/>
      </c>
      <c r="W438" s="10">
        <f>IF(V438="","",V438/N438)</f>
        <v/>
      </c>
      <c r="X438" s="11">
        <f>IF(V438="","",V438/R438)</f>
        <v/>
      </c>
      <c r="Y438" s="8">
        <f>IF(OR($E438="",L438=""),"",IF($E438="LONG",L438-K438,K438-L438))</f>
        <v/>
      </c>
      <c r="AP438" s="7" t="n"/>
    </row>
    <row r="439">
      <c r="H439" s="7" t="n"/>
      <c r="I439" s="7" t="n"/>
      <c r="J439" s="8">
        <f>IF($E439="","",MAX(Settings!$B$7,ROUND(Settings!$B$8*IF($E439="LONG",H439,I439),2)))</f>
        <v/>
      </c>
      <c r="K439" s="8">
        <f>IF($E439="","",IF($E439="LONG",H439+J439,I439-J439))</f>
        <v/>
      </c>
      <c r="L439" s="7" t="n"/>
      <c r="M439" s="8">
        <f>IF($E439="","",IF($E439="LONG",K439-O439,K439+O439))</f>
        <v/>
      </c>
      <c r="N439" s="7" t="n"/>
      <c r="O439" s="8">
        <f>IF(OR($E439="",AP439=""),"",ROUNDUP(ROUND(MAX(IF($E439="LONG",K439-I439,H439-K439),Settings!$B$9*AP439),6),2))</f>
        <v/>
      </c>
      <c r="P439" s="8">
        <f>IF($E439="","",N439*Settings!$B$4)</f>
        <v/>
      </c>
      <c r="Q439" s="9">
        <f>IF(O439="","",MIN(INT(ROUND(P439/O439,6)),INT(ROUND(Settings!$B$5/K439,6))))</f>
        <v/>
      </c>
      <c r="R439" s="8">
        <f>IF(O439="","",Q439*O439)</f>
        <v/>
      </c>
      <c r="S439" s="8">
        <f>IF(O439="","",IF($E439="LONG",K439+Settings!$B$6*O439,K439-Settings!$B$6*O439))</f>
        <v/>
      </c>
      <c r="T439" s="7" t="n"/>
      <c r="V439" s="8">
        <f>IF(OR($E439="",T439=""),"",IF($E439="LONG",(T439-L439)*Q439,(L439-T439)*Q439))</f>
        <v/>
      </c>
      <c r="W439" s="10">
        <f>IF(V439="","",V439/N439)</f>
        <v/>
      </c>
      <c r="X439" s="11">
        <f>IF(V439="","",V439/R439)</f>
        <v/>
      </c>
      <c r="Y439" s="8">
        <f>IF(OR($E439="",L439=""),"",IF($E439="LONG",L439-K439,K439-L439))</f>
        <v/>
      </c>
      <c r="AP439" s="7" t="n"/>
    </row>
    <row r="440">
      <c r="H440" s="7" t="n"/>
      <c r="I440" s="7" t="n"/>
      <c r="J440" s="8">
        <f>IF($E440="","",MAX(Settings!$B$7,ROUND(Settings!$B$8*IF($E440="LONG",H440,I440),2)))</f>
        <v/>
      </c>
      <c r="K440" s="8">
        <f>IF($E440="","",IF($E440="LONG",H440+J440,I440-J440))</f>
        <v/>
      </c>
      <c r="L440" s="7" t="n"/>
      <c r="M440" s="8">
        <f>IF($E440="","",IF($E440="LONG",K440-O440,K440+O440))</f>
        <v/>
      </c>
      <c r="N440" s="7" t="n"/>
      <c r="O440" s="8">
        <f>IF(OR($E440="",AP440=""),"",ROUNDUP(ROUND(MAX(IF($E440="LONG",K440-I440,H440-K440),Settings!$B$9*AP440),6),2))</f>
        <v/>
      </c>
      <c r="P440" s="8">
        <f>IF($E440="","",N440*Settings!$B$4)</f>
        <v/>
      </c>
      <c r="Q440" s="9">
        <f>IF(O440="","",MIN(INT(ROUND(P440/O440,6)),INT(ROUND(Settings!$B$5/K440,6))))</f>
        <v/>
      </c>
      <c r="R440" s="8">
        <f>IF(O440="","",Q440*O440)</f>
        <v/>
      </c>
      <c r="S440" s="8">
        <f>IF(O440="","",IF($E440="LONG",K440+Settings!$B$6*O440,K440-Settings!$B$6*O440))</f>
        <v/>
      </c>
      <c r="T440" s="7" t="n"/>
      <c r="V440" s="8">
        <f>IF(OR($E440="",T440=""),"",IF($E440="LONG",(T440-L440)*Q440,(L440-T440)*Q440))</f>
        <v/>
      </c>
      <c r="W440" s="10">
        <f>IF(V440="","",V440/N440)</f>
        <v/>
      </c>
      <c r="X440" s="11">
        <f>IF(V440="","",V440/R440)</f>
        <v/>
      </c>
      <c r="Y440" s="8">
        <f>IF(OR($E440="",L440=""),"",IF($E440="LONG",L440-K440,K440-L440))</f>
        <v/>
      </c>
      <c r="AP440" s="7" t="n"/>
    </row>
    <row r="441">
      <c r="H441" s="7" t="n"/>
      <c r="I441" s="7" t="n"/>
      <c r="J441" s="8">
        <f>IF($E441="","",MAX(Settings!$B$7,ROUND(Settings!$B$8*IF($E441="LONG",H441,I441),2)))</f>
        <v/>
      </c>
      <c r="K441" s="8">
        <f>IF($E441="","",IF($E441="LONG",H441+J441,I441-J441))</f>
        <v/>
      </c>
      <c r="L441" s="7" t="n"/>
      <c r="M441" s="8">
        <f>IF($E441="","",IF($E441="LONG",K441-O441,K441+O441))</f>
        <v/>
      </c>
      <c r="N441" s="7" t="n"/>
      <c r="O441" s="8">
        <f>IF(OR($E441="",AP441=""),"",ROUNDUP(ROUND(MAX(IF($E441="LONG",K441-I441,H441-K441),Settings!$B$9*AP441),6),2))</f>
        <v/>
      </c>
      <c r="P441" s="8">
        <f>IF($E441="","",N441*Settings!$B$4)</f>
        <v/>
      </c>
      <c r="Q441" s="9">
        <f>IF(O441="","",MIN(INT(ROUND(P441/O441,6)),INT(ROUND(Settings!$B$5/K441,6))))</f>
        <v/>
      </c>
      <c r="R441" s="8">
        <f>IF(O441="","",Q441*O441)</f>
        <v/>
      </c>
      <c r="S441" s="8">
        <f>IF(O441="","",IF($E441="LONG",K441+Settings!$B$6*O441,K441-Settings!$B$6*O441))</f>
        <v/>
      </c>
      <c r="T441" s="7" t="n"/>
      <c r="V441" s="8">
        <f>IF(OR($E441="",T441=""),"",IF($E441="LONG",(T441-L441)*Q441,(L441-T441)*Q441))</f>
        <v/>
      </c>
      <c r="W441" s="10">
        <f>IF(V441="","",V441/N441)</f>
        <v/>
      </c>
      <c r="X441" s="11">
        <f>IF(V441="","",V441/R441)</f>
        <v/>
      </c>
      <c r="Y441" s="8">
        <f>IF(OR($E441="",L441=""),"",IF($E441="LONG",L441-K441,K441-L441))</f>
        <v/>
      </c>
      <c r="AP441" s="7" t="n"/>
    </row>
    <row r="442">
      <c r="H442" s="7" t="n"/>
      <c r="I442" s="7" t="n"/>
      <c r="J442" s="8">
        <f>IF($E442="","",MAX(Settings!$B$7,ROUND(Settings!$B$8*IF($E442="LONG",H442,I442),2)))</f>
        <v/>
      </c>
      <c r="K442" s="8">
        <f>IF($E442="","",IF($E442="LONG",H442+J442,I442-J442))</f>
        <v/>
      </c>
      <c r="L442" s="7" t="n"/>
      <c r="M442" s="8">
        <f>IF($E442="","",IF($E442="LONG",K442-O442,K442+O442))</f>
        <v/>
      </c>
      <c r="N442" s="7" t="n"/>
      <c r="O442" s="8">
        <f>IF(OR($E442="",AP442=""),"",ROUNDUP(ROUND(MAX(IF($E442="LONG",K442-I442,H442-K442),Settings!$B$9*AP442),6),2))</f>
        <v/>
      </c>
      <c r="P442" s="8">
        <f>IF($E442="","",N442*Settings!$B$4)</f>
        <v/>
      </c>
      <c r="Q442" s="9">
        <f>IF(O442="","",MIN(INT(ROUND(P442/O442,6)),INT(ROUND(Settings!$B$5/K442,6))))</f>
        <v/>
      </c>
      <c r="R442" s="8">
        <f>IF(O442="","",Q442*O442)</f>
        <v/>
      </c>
      <c r="S442" s="8">
        <f>IF(O442="","",IF($E442="LONG",K442+Settings!$B$6*O442,K442-Settings!$B$6*O442))</f>
        <v/>
      </c>
      <c r="T442" s="7" t="n"/>
      <c r="V442" s="8">
        <f>IF(OR($E442="",T442=""),"",IF($E442="LONG",(T442-L442)*Q442,(L442-T442)*Q442))</f>
        <v/>
      </c>
      <c r="W442" s="10">
        <f>IF(V442="","",V442/N442)</f>
        <v/>
      </c>
      <c r="X442" s="11">
        <f>IF(V442="","",V442/R442)</f>
        <v/>
      </c>
      <c r="Y442" s="8">
        <f>IF(OR($E442="",L442=""),"",IF($E442="LONG",L442-K442,K442-L442))</f>
        <v/>
      </c>
      <c r="AP442" s="7" t="n"/>
    </row>
    <row r="443">
      <c r="H443" s="7" t="n"/>
      <c r="I443" s="7" t="n"/>
      <c r="J443" s="8">
        <f>IF($E443="","",MAX(Settings!$B$7,ROUND(Settings!$B$8*IF($E443="LONG",H443,I443),2)))</f>
        <v/>
      </c>
      <c r="K443" s="8">
        <f>IF($E443="","",IF($E443="LONG",H443+J443,I443-J443))</f>
        <v/>
      </c>
      <c r="L443" s="7" t="n"/>
      <c r="M443" s="8">
        <f>IF($E443="","",IF($E443="LONG",K443-O443,K443+O443))</f>
        <v/>
      </c>
      <c r="N443" s="7" t="n"/>
      <c r="O443" s="8">
        <f>IF(OR($E443="",AP443=""),"",ROUNDUP(ROUND(MAX(IF($E443="LONG",K443-I443,H443-K443),Settings!$B$9*AP443),6),2))</f>
        <v/>
      </c>
      <c r="P443" s="8">
        <f>IF($E443="","",N443*Settings!$B$4)</f>
        <v/>
      </c>
      <c r="Q443" s="9">
        <f>IF(O443="","",MIN(INT(ROUND(P443/O443,6)),INT(ROUND(Settings!$B$5/K443,6))))</f>
        <v/>
      </c>
      <c r="R443" s="8">
        <f>IF(O443="","",Q443*O443)</f>
        <v/>
      </c>
      <c r="S443" s="8">
        <f>IF(O443="","",IF($E443="LONG",K443+Settings!$B$6*O443,K443-Settings!$B$6*O443))</f>
        <v/>
      </c>
      <c r="T443" s="7" t="n"/>
      <c r="V443" s="8">
        <f>IF(OR($E443="",T443=""),"",IF($E443="LONG",(T443-L443)*Q443,(L443-T443)*Q443))</f>
        <v/>
      </c>
      <c r="W443" s="10">
        <f>IF(V443="","",V443/N443)</f>
        <v/>
      </c>
      <c r="X443" s="11">
        <f>IF(V443="","",V443/R443)</f>
        <v/>
      </c>
      <c r="Y443" s="8">
        <f>IF(OR($E443="",L443=""),"",IF($E443="LONG",L443-K443,K443-L443))</f>
        <v/>
      </c>
      <c r="AP443" s="7" t="n"/>
    </row>
    <row r="444">
      <c r="H444" s="7" t="n"/>
      <c r="I444" s="7" t="n"/>
      <c r="J444" s="8">
        <f>IF($E444="","",MAX(Settings!$B$7,ROUND(Settings!$B$8*IF($E444="LONG",H444,I444),2)))</f>
        <v/>
      </c>
      <c r="K444" s="8">
        <f>IF($E444="","",IF($E444="LONG",H444+J444,I444-J444))</f>
        <v/>
      </c>
      <c r="L444" s="7" t="n"/>
      <c r="M444" s="8">
        <f>IF($E444="","",IF($E444="LONG",K444-O444,K444+O444))</f>
        <v/>
      </c>
      <c r="N444" s="7" t="n"/>
      <c r="O444" s="8">
        <f>IF(OR($E444="",AP444=""),"",ROUNDUP(ROUND(MAX(IF($E444="LONG",K444-I444,H444-K444),Settings!$B$9*AP444),6),2))</f>
        <v/>
      </c>
      <c r="P444" s="8">
        <f>IF($E444="","",N444*Settings!$B$4)</f>
        <v/>
      </c>
      <c r="Q444" s="9">
        <f>IF(O444="","",MIN(INT(ROUND(P444/O444,6)),INT(ROUND(Settings!$B$5/K444,6))))</f>
        <v/>
      </c>
      <c r="R444" s="8">
        <f>IF(O444="","",Q444*O444)</f>
        <v/>
      </c>
      <c r="S444" s="8">
        <f>IF(O444="","",IF($E444="LONG",K444+Settings!$B$6*O444,K444-Settings!$B$6*O444))</f>
        <v/>
      </c>
      <c r="T444" s="7" t="n"/>
      <c r="V444" s="8">
        <f>IF(OR($E444="",T444=""),"",IF($E444="LONG",(T444-L444)*Q444,(L444-T444)*Q444))</f>
        <v/>
      </c>
      <c r="W444" s="10">
        <f>IF(V444="","",V444/N444)</f>
        <v/>
      </c>
      <c r="X444" s="11">
        <f>IF(V444="","",V444/R444)</f>
        <v/>
      </c>
      <c r="Y444" s="8">
        <f>IF(OR($E444="",L444=""),"",IF($E444="LONG",L444-K444,K444-L444))</f>
        <v/>
      </c>
      <c r="AP444" s="7" t="n"/>
    </row>
    <row r="445">
      <c r="H445" s="7" t="n"/>
      <c r="I445" s="7" t="n"/>
      <c r="J445" s="8">
        <f>IF($E445="","",MAX(Settings!$B$7,ROUND(Settings!$B$8*IF($E445="LONG",H445,I445),2)))</f>
        <v/>
      </c>
      <c r="K445" s="8">
        <f>IF($E445="","",IF($E445="LONG",H445+J445,I445-J445))</f>
        <v/>
      </c>
      <c r="L445" s="7" t="n"/>
      <c r="M445" s="8">
        <f>IF($E445="","",IF($E445="LONG",K445-O445,K445+O445))</f>
        <v/>
      </c>
      <c r="N445" s="7" t="n"/>
      <c r="O445" s="8">
        <f>IF(OR($E445="",AP445=""),"",ROUNDUP(ROUND(MAX(IF($E445="LONG",K445-I445,H445-K445),Settings!$B$9*AP445),6),2))</f>
        <v/>
      </c>
      <c r="P445" s="8">
        <f>IF($E445="","",N445*Settings!$B$4)</f>
        <v/>
      </c>
      <c r="Q445" s="9">
        <f>IF(O445="","",MIN(INT(ROUND(P445/O445,6)),INT(ROUND(Settings!$B$5/K445,6))))</f>
        <v/>
      </c>
      <c r="R445" s="8">
        <f>IF(O445="","",Q445*O445)</f>
        <v/>
      </c>
      <c r="S445" s="8">
        <f>IF(O445="","",IF($E445="LONG",K445+Settings!$B$6*O445,K445-Settings!$B$6*O445))</f>
        <v/>
      </c>
      <c r="T445" s="7" t="n"/>
      <c r="V445" s="8">
        <f>IF(OR($E445="",T445=""),"",IF($E445="LONG",(T445-L445)*Q445,(L445-T445)*Q445))</f>
        <v/>
      </c>
      <c r="W445" s="10">
        <f>IF(V445="","",V445/N445)</f>
        <v/>
      </c>
      <c r="X445" s="11">
        <f>IF(V445="","",V445/R445)</f>
        <v/>
      </c>
      <c r="Y445" s="8">
        <f>IF(OR($E445="",L445=""),"",IF($E445="LONG",L445-K445,K445-L445))</f>
        <v/>
      </c>
      <c r="AP445" s="7" t="n"/>
    </row>
    <row r="446">
      <c r="H446" s="7" t="n"/>
      <c r="I446" s="7" t="n"/>
      <c r="J446" s="8">
        <f>IF($E446="","",MAX(Settings!$B$7,ROUND(Settings!$B$8*IF($E446="LONG",H446,I446),2)))</f>
        <v/>
      </c>
      <c r="K446" s="8">
        <f>IF($E446="","",IF($E446="LONG",H446+J446,I446-J446))</f>
        <v/>
      </c>
      <c r="L446" s="7" t="n"/>
      <c r="M446" s="8">
        <f>IF($E446="","",IF($E446="LONG",K446-O446,K446+O446))</f>
        <v/>
      </c>
      <c r="N446" s="7" t="n"/>
      <c r="O446" s="8">
        <f>IF(OR($E446="",AP446=""),"",ROUNDUP(ROUND(MAX(IF($E446="LONG",K446-I446,H446-K446),Settings!$B$9*AP446),6),2))</f>
        <v/>
      </c>
      <c r="P446" s="8">
        <f>IF($E446="","",N446*Settings!$B$4)</f>
        <v/>
      </c>
      <c r="Q446" s="9">
        <f>IF(O446="","",MIN(INT(ROUND(P446/O446,6)),INT(ROUND(Settings!$B$5/K446,6))))</f>
        <v/>
      </c>
      <c r="R446" s="8">
        <f>IF(O446="","",Q446*O446)</f>
        <v/>
      </c>
      <c r="S446" s="8">
        <f>IF(O446="","",IF($E446="LONG",K446+Settings!$B$6*O446,K446-Settings!$B$6*O446))</f>
        <v/>
      </c>
      <c r="T446" s="7" t="n"/>
      <c r="V446" s="8">
        <f>IF(OR($E446="",T446=""),"",IF($E446="LONG",(T446-L446)*Q446,(L446-T446)*Q446))</f>
        <v/>
      </c>
      <c r="W446" s="10">
        <f>IF(V446="","",V446/N446)</f>
        <v/>
      </c>
      <c r="X446" s="11">
        <f>IF(V446="","",V446/R446)</f>
        <v/>
      </c>
      <c r="Y446" s="8">
        <f>IF(OR($E446="",L446=""),"",IF($E446="LONG",L446-K446,K446-L446))</f>
        <v/>
      </c>
      <c r="AP446" s="7" t="n"/>
    </row>
    <row r="447">
      <c r="H447" s="7" t="n"/>
      <c r="I447" s="7" t="n"/>
      <c r="J447" s="8">
        <f>IF($E447="","",MAX(Settings!$B$7,ROUND(Settings!$B$8*IF($E447="LONG",H447,I447),2)))</f>
        <v/>
      </c>
      <c r="K447" s="8">
        <f>IF($E447="","",IF($E447="LONG",H447+J447,I447-J447))</f>
        <v/>
      </c>
      <c r="L447" s="7" t="n"/>
      <c r="M447" s="8">
        <f>IF($E447="","",IF($E447="LONG",K447-O447,K447+O447))</f>
        <v/>
      </c>
      <c r="N447" s="7" t="n"/>
      <c r="O447" s="8">
        <f>IF(OR($E447="",AP447=""),"",ROUNDUP(ROUND(MAX(IF($E447="LONG",K447-I447,H447-K447),Settings!$B$9*AP447),6),2))</f>
        <v/>
      </c>
      <c r="P447" s="8">
        <f>IF($E447="","",N447*Settings!$B$4)</f>
        <v/>
      </c>
      <c r="Q447" s="9">
        <f>IF(O447="","",MIN(INT(ROUND(P447/O447,6)),INT(ROUND(Settings!$B$5/K447,6))))</f>
        <v/>
      </c>
      <c r="R447" s="8">
        <f>IF(O447="","",Q447*O447)</f>
        <v/>
      </c>
      <c r="S447" s="8">
        <f>IF(O447="","",IF($E447="LONG",K447+Settings!$B$6*O447,K447-Settings!$B$6*O447))</f>
        <v/>
      </c>
      <c r="T447" s="7" t="n"/>
      <c r="V447" s="8">
        <f>IF(OR($E447="",T447=""),"",IF($E447="LONG",(T447-L447)*Q447,(L447-T447)*Q447))</f>
        <v/>
      </c>
      <c r="W447" s="10">
        <f>IF(V447="","",V447/N447)</f>
        <v/>
      </c>
      <c r="X447" s="11">
        <f>IF(V447="","",V447/R447)</f>
        <v/>
      </c>
      <c r="Y447" s="8">
        <f>IF(OR($E447="",L447=""),"",IF($E447="LONG",L447-K447,K447-L447))</f>
        <v/>
      </c>
      <c r="AP447" s="7" t="n"/>
    </row>
    <row r="448">
      <c r="H448" s="7" t="n"/>
      <c r="I448" s="7" t="n"/>
      <c r="J448" s="8">
        <f>IF($E448="","",MAX(Settings!$B$7,ROUND(Settings!$B$8*IF($E448="LONG",H448,I448),2)))</f>
        <v/>
      </c>
      <c r="K448" s="8">
        <f>IF($E448="","",IF($E448="LONG",H448+J448,I448-J448))</f>
        <v/>
      </c>
      <c r="L448" s="7" t="n"/>
      <c r="M448" s="8">
        <f>IF($E448="","",IF($E448="LONG",K448-O448,K448+O448))</f>
        <v/>
      </c>
      <c r="N448" s="7" t="n"/>
      <c r="O448" s="8">
        <f>IF(OR($E448="",AP448=""),"",ROUNDUP(ROUND(MAX(IF($E448="LONG",K448-I448,H448-K448),Settings!$B$9*AP448),6),2))</f>
        <v/>
      </c>
      <c r="P448" s="8">
        <f>IF($E448="","",N448*Settings!$B$4)</f>
        <v/>
      </c>
      <c r="Q448" s="9">
        <f>IF(O448="","",MIN(INT(ROUND(P448/O448,6)),INT(ROUND(Settings!$B$5/K448,6))))</f>
        <v/>
      </c>
      <c r="R448" s="8">
        <f>IF(O448="","",Q448*O448)</f>
        <v/>
      </c>
      <c r="S448" s="8">
        <f>IF(O448="","",IF($E448="LONG",K448+Settings!$B$6*O448,K448-Settings!$B$6*O448))</f>
        <v/>
      </c>
      <c r="T448" s="7" t="n"/>
      <c r="V448" s="8">
        <f>IF(OR($E448="",T448=""),"",IF($E448="LONG",(T448-L448)*Q448,(L448-T448)*Q448))</f>
        <v/>
      </c>
      <c r="W448" s="10">
        <f>IF(V448="","",V448/N448)</f>
        <v/>
      </c>
      <c r="X448" s="11">
        <f>IF(V448="","",V448/R448)</f>
        <v/>
      </c>
      <c r="Y448" s="8">
        <f>IF(OR($E448="",L448=""),"",IF($E448="LONG",L448-K448,K448-L448))</f>
        <v/>
      </c>
      <c r="AP448" s="7" t="n"/>
    </row>
    <row r="449">
      <c r="H449" s="7" t="n"/>
      <c r="I449" s="7" t="n"/>
      <c r="J449" s="8">
        <f>IF($E449="","",MAX(Settings!$B$7,ROUND(Settings!$B$8*IF($E449="LONG",H449,I449),2)))</f>
        <v/>
      </c>
      <c r="K449" s="8">
        <f>IF($E449="","",IF($E449="LONG",H449+J449,I449-J449))</f>
        <v/>
      </c>
      <c r="L449" s="7" t="n"/>
      <c r="M449" s="8">
        <f>IF($E449="","",IF($E449="LONG",K449-O449,K449+O449))</f>
        <v/>
      </c>
      <c r="N449" s="7" t="n"/>
      <c r="O449" s="8">
        <f>IF(OR($E449="",AP449=""),"",ROUNDUP(ROUND(MAX(IF($E449="LONG",K449-I449,H449-K449),Settings!$B$9*AP449),6),2))</f>
        <v/>
      </c>
      <c r="P449" s="8">
        <f>IF($E449="","",N449*Settings!$B$4)</f>
        <v/>
      </c>
      <c r="Q449" s="9">
        <f>IF(O449="","",MIN(INT(ROUND(P449/O449,6)),INT(ROUND(Settings!$B$5/K449,6))))</f>
        <v/>
      </c>
      <c r="R449" s="8">
        <f>IF(O449="","",Q449*O449)</f>
        <v/>
      </c>
      <c r="S449" s="8">
        <f>IF(O449="","",IF($E449="LONG",K449+Settings!$B$6*O449,K449-Settings!$B$6*O449))</f>
        <v/>
      </c>
      <c r="T449" s="7" t="n"/>
      <c r="V449" s="8">
        <f>IF(OR($E449="",T449=""),"",IF($E449="LONG",(T449-L449)*Q449,(L449-T449)*Q449))</f>
        <v/>
      </c>
      <c r="W449" s="10">
        <f>IF(V449="","",V449/N449)</f>
        <v/>
      </c>
      <c r="X449" s="11">
        <f>IF(V449="","",V449/R449)</f>
        <v/>
      </c>
      <c r="Y449" s="8">
        <f>IF(OR($E449="",L449=""),"",IF($E449="LONG",L449-K449,K449-L449))</f>
        <v/>
      </c>
      <c r="AP449" s="7" t="n"/>
    </row>
    <row r="450">
      <c r="H450" s="7" t="n"/>
      <c r="I450" s="7" t="n"/>
      <c r="J450" s="8">
        <f>IF($E450="","",MAX(Settings!$B$7,ROUND(Settings!$B$8*IF($E450="LONG",H450,I450),2)))</f>
        <v/>
      </c>
      <c r="K450" s="8">
        <f>IF($E450="","",IF($E450="LONG",H450+J450,I450-J450))</f>
        <v/>
      </c>
      <c r="L450" s="7" t="n"/>
      <c r="M450" s="8">
        <f>IF($E450="","",IF($E450="LONG",K450-O450,K450+O450))</f>
        <v/>
      </c>
      <c r="N450" s="7" t="n"/>
      <c r="O450" s="8">
        <f>IF(OR($E450="",AP450=""),"",ROUNDUP(ROUND(MAX(IF($E450="LONG",K450-I450,H450-K450),Settings!$B$9*AP450),6),2))</f>
        <v/>
      </c>
      <c r="P450" s="8">
        <f>IF($E450="","",N450*Settings!$B$4)</f>
        <v/>
      </c>
      <c r="Q450" s="9">
        <f>IF(O450="","",MIN(INT(ROUND(P450/O450,6)),INT(ROUND(Settings!$B$5/K450,6))))</f>
        <v/>
      </c>
      <c r="R450" s="8">
        <f>IF(O450="","",Q450*O450)</f>
        <v/>
      </c>
      <c r="S450" s="8">
        <f>IF(O450="","",IF($E450="LONG",K450+Settings!$B$6*O450,K450-Settings!$B$6*O450))</f>
        <v/>
      </c>
      <c r="T450" s="7" t="n"/>
      <c r="V450" s="8">
        <f>IF(OR($E450="",T450=""),"",IF($E450="LONG",(T450-L450)*Q450,(L450-T450)*Q450))</f>
        <v/>
      </c>
      <c r="W450" s="10">
        <f>IF(V450="","",V450/N450)</f>
        <v/>
      </c>
      <c r="X450" s="11">
        <f>IF(V450="","",V450/R450)</f>
        <v/>
      </c>
      <c r="Y450" s="8">
        <f>IF(OR($E450="",L450=""),"",IF($E450="LONG",L450-K450,K450-L450))</f>
        <v/>
      </c>
      <c r="AP450" s="7" t="n"/>
    </row>
    <row r="451">
      <c r="H451" s="7" t="n"/>
      <c r="I451" s="7" t="n"/>
      <c r="J451" s="8">
        <f>IF($E451="","",MAX(Settings!$B$7,ROUND(Settings!$B$8*IF($E451="LONG",H451,I451),2)))</f>
        <v/>
      </c>
      <c r="K451" s="8">
        <f>IF($E451="","",IF($E451="LONG",H451+J451,I451-J451))</f>
        <v/>
      </c>
      <c r="L451" s="7" t="n"/>
      <c r="M451" s="8">
        <f>IF($E451="","",IF($E451="LONG",K451-O451,K451+O451))</f>
        <v/>
      </c>
      <c r="N451" s="7" t="n"/>
      <c r="O451" s="8">
        <f>IF(OR($E451="",AP451=""),"",ROUNDUP(ROUND(MAX(IF($E451="LONG",K451-I451,H451-K451),Settings!$B$9*AP451),6),2))</f>
        <v/>
      </c>
      <c r="P451" s="8">
        <f>IF($E451="","",N451*Settings!$B$4)</f>
        <v/>
      </c>
      <c r="Q451" s="9">
        <f>IF(O451="","",MIN(INT(ROUND(P451/O451,6)),INT(ROUND(Settings!$B$5/K451,6))))</f>
        <v/>
      </c>
      <c r="R451" s="8">
        <f>IF(O451="","",Q451*O451)</f>
        <v/>
      </c>
      <c r="S451" s="8">
        <f>IF(O451="","",IF($E451="LONG",K451+Settings!$B$6*O451,K451-Settings!$B$6*O451))</f>
        <v/>
      </c>
      <c r="T451" s="7" t="n"/>
      <c r="V451" s="8">
        <f>IF(OR($E451="",T451=""),"",IF($E451="LONG",(T451-L451)*Q451,(L451-T451)*Q451))</f>
        <v/>
      </c>
      <c r="W451" s="10">
        <f>IF(V451="","",V451/N451)</f>
        <v/>
      </c>
      <c r="X451" s="11">
        <f>IF(V451="","",V451/R451)</f>
        <v/>
      </c>
      <c r="Y451" s="8">
        <f>IF(OR($E451="",L451=""),"",IF($E451="LONG",L451-K451,K451-L451))</f>
        <v/>
      </c>
      <c r="AP451" s="7" t="n"/>
    </row>
    <row r="452">
      <c r="H452" s="7" t="n"/>
      <c r="I452" s="7" t="n"/>
      <c r="J452" s="8">
        <f>IF($E452="","",MAX(Settings!$B$7,ROUND(Settings!$B$8*IF($E452="LONG",H452,I452),2)))</f>
        <v/>
      </c>
      <c r="K452" s="8">
        <f>IF($E452="","",IF($E452="LONG",H452+J452,I452-J452))</f>
        <v/>
      </c>
      <c r="L452" s="7" t="n"/>
      <c r="M452" s="8">
        <f>IF($E452="","",IF($E452="LONG",K452-O452,K452+O452))</f>
        <v/>
      </c>
      <c r="N452" s="7" t="n"/>
      <c r="O452" s="8">
        <f>IF(OR($E452="",AP452=""),"",ROUNDUP(ROUND(MAX(IF($E452="LONG",K452-I452,H452-K452),Settings!$B$9*AP452),6),2))</f>
        <v/>
      </c>
      <c r="P452" s="8">
        <f>IF($E452="","",N452*Settings!$B$4)</f>
        <v/>
      </c>
      <c r="Q452" s="9">
        <f>IF(O452="","",MIN(INT(ROUND(P452/O452,6)),INT(ROUND(Settings!$B$5/K452,6))))</f>
        <v/>
      </c>
      <c r="R452" s="8">
        <f>IF(O452="","",Q452*O452)</f>
        <v/>
      </c>
      <c r="S452" s="8">
        <f>IF(O452="","",IF($E452="LONG",K452+Settings!$B$6*O452,K452-Settings!$B$6*O452))</f>
        <v/>
      </c>
      <c r="T452" s="7" t="n"/>
      <c r="V452" s="8">
        <f>IF(OR($E452="",T452=""),"",IF($E452="LONG",(T452-L452)*Q452,(L452-T452)*Q452))</f>
        <v/>
      </c>
      <c r="W452" s="10">
        <f>IF(V452="","",V452/N452)</f>
        <v/>
      </c>
      <c r="X452" s="11">
        <f>IF(V452="","",V452/R452)</f>
        <v/>
      </c>
      <c r="Y452" s="8">
        <f>IF(OR($E452="",L452=""),"",IF($E452="LONG",L452-K452,K452-L452))</f>
        <v/>
      </c>
      <c r="AP452" s="7" t="n"/>
    </row>
    <row r="453">
      <c r="H453" s="7" t="n"/>
      <c r="I453" s="7" t="n"/>
      <c r="J453" s="8">
        <f>IF($E453="","",MAX(Settings!$B$7,ROUND(Settings!$B$8*IF($E453="LONG",H453,I453),2)))</f>
        <v/>
      </c>
      <c r="K453" s="8">
        <f>IF($E453="","",IF($E453="LONG",H453+J453,I453-J453))</f>
        <v/>
      </c>
      <c r="L453" s="7" t="n"/>
      <c r="M453" s="8">
        <f>IF($E453="","",IF($E453="LONG",K453-O453,K453+O453))</f>
        <v/>
      </c>
      <c r="N453" s="7" t="n"/>
      <c r="O453" s="8">
        <f>IF(OR($E453="",AP453=""),"",ROUNDUP(ROUND(MAX(IF($E453="LONG",K453-I453,H453-K453),Settings!$B$9*AP453),6),2))</f>
        <v/>
      </c>
      <c r="P453" s="8">
        <f>IF($E453="","",N453*Settings!$B$4)</f>
        <v/>
      </c>
      <c r="Q453" s="9">
        <f>IF(O453="","",MIN(INT(ROUND(P453/O453,6)),INT(ROUND(Settings!$B$5/K453,6))))</f>
        <v/>
      </c>
      <c r="R453" s="8">
        <f>IF(O453="","",Q453*O453)</f>
        <v/>
      </c>
      <c r="S453" s="8">
        <f>IF(O453="","",IF($E453="LONG",K453+Settings!$B$6*O453,K453-Settings!$B$6*O453))</f>
        <v/>
      </c>
      <c r="T453" s="7" t="n"/>
      <c r="V453" s="8">
        <f>IF(OR($E453="",T453=""),"",IF($E453="LONG",(T453-L453)*Q453,(L453-T453)*Q453))</f>
        <v/>
      </c>
      <c r="W453" s="10">
        <f>IF(V453="","",V453/N453)</f>
        <v/>
      </c>
      <c r="X453" s="11">
        <f>IF(V453="","",V453/R453)</f>
        <v/>
      </c>
      <c r="Y453" s="8">
        <f>IF(OR($E453="",L453=""),"",IF($E453="LONG",L453-K453,K453-L453))</f>
        <v/>
      </c>
      <c r="AP453" s="7" t="n"/>
    </row>
    <row r="454">
      <c r="H454" s="7" t="n"/>
      <c r="I454" s="7" t="n"/>
      <c r="J454" s="8">
        <f>IF($E454="","",MAX(Settings!$B$7,ROUND(Settings!$B$8*IF($E454="LONG",H454,I454),2)))</f>
        <v/>
      </c>
      <c r="K454" s="8">
        <f>IF($E454="","",IF($E454="LONG",H454+J454,I454-J454))</f>
        <v/>
      </c>
      <c r="L454" s="7" t="n"/>
      <c r="M454" s="8">
        <f>IF($E454="","",IF($E454="LONG",K454-O454,K454+O454))</f>
        <v/>
      </c>
      <c r="N454" s="7" t="n"/>
      <c r="O454" s="8">
        <f>IF(OR($E454="",AP454=""),"",ROUNDUP(ROUND(MAX(IF($E454="LONG",K454-I454,H454-K454),Settings!$B$9*AP454),6),2))</f>
        <v/>
      </c>
      <c r="P454" s="8">
        <f>IF($E454="","",N454*Settings!$B$4)</f>
        <v/>
      </c>
      <c r="Q454" s="9">
        <f>IF(O454="","",MIN(INT(ROUND(P454/O454,6)),INT(ROUND(Settings!$B$5/K454,6))))</f>
        <v/>
      </c>
      <c r="R454" s="8">
        <f>IF(O454="","",Q454*O454)</f>
        <v/>
      </c>
      <c r="S454" s="8">
        <f>IF(O454="","",IF($E454="LONG",K454+Settings!$B$6*O454,K454-Settings!$B$6*O454))</f>
        <v/>
      </c>
      <c r="T454" s="7" t="n"/>
      <c r="V454" s="8">
        <f>IF(OR($E454="",T454=""),"",IF($E454="LONG",(T454-L454)*Q454,(L454-T454)*Q454))</f>
        <v/>
      </c>
      <c r="W454" s="10">
        <f>IF(V454="","",V454/N454)</f>
        <v/>
      </c>
      <c r="X454" s="11">
        <f>IF(V454="","",V454/R454)</f>
        <v/>
      </c>
      <c r="Y454" s="8">
        <f>IF(OR($E454="",L454=""),"",IF($E454="LONG",L454-K454,K454-L454))</f>
        <v/>
      </c>
      <c r="AP454" s="7" t="n"/>
    </row>
    <row r="455">
      <c r="H455" s="7" t="n"/>
      <c r="I455" s="7" t="n"/>
      <c r="J455" s="8">
        <f>IF($E455="","",MAX(Settings!$B$7,ROUND(Settings!$B$8*IF($E455="LONG",H455,I455),2)))</f>
        <v/>
      </c>
      <c r="K455" s="8">
        <f>IF($E455="","",IF($E455="LONG",H455+J455,I455-J455))</f>
        <v/>
      </c>
      <c r="L455" s="7" t="n"/>
      <c r="M455" s="8">
        <f>IF($E455="","",IF($E455="LONG",K455-O455,K455+O455))</f>
        <v/>
      </c>
      <c r="N455" s="7" t="n"/>
      <c r="O455" s="8">
        <f>IF(OR($E455="",AP455=""),"",ROUNDUP(ROUND(MAX(IF($E455="LONG",K455-I455,H455-K455),Settings!$B$9*AP455),6),2))</f>
        <v/>
      </c>
      <c r="P455" s="8">
        <f>IF($E455="","",N455*Settings!$B$4)</f>
        <v/>
      </c>
      <c r="Q455" s="9">
        <f>IF(O455="","",MIN(INT(ROUND(P455/O455,6)),INT(ROUND(Settings!$B$5/K455,6))))</f>
        <v/>
      </c>
      <c r="R455" s="8">
        <f>IF(O455="","",Q455*O455)</f>
        <v/>
      </c>
      <c r="S455" s="8">
        <f>IF(O455="","",IF($E455="LONG",K455+Settings!$B$6*O455,K455-Settings!$B$6*O455))</f>
        <v/>
      </c>
      <c r="T455" s="7" t="n"/>
      <c r="V455" s="8">
        <f>IF(OR($E455="",T455=""),"",IF($E455="LONG",(T455-L455)*Q455,(L455-T455)*Q455))</f>
        <v/>
      </c>
      <c r="W455" s="10">
        <f>IF(V455="","",V455/N455)</f>
        <v/>
      </c>
      <c r="X455" s="11">
        <f>IF(V455="","",V455/R455)</f>
        <v/>
      </c>
      <c r="Y455" s="8">
        <f>IF(OR($E455="",L455=""),"",IF($E455="LONG",L455-K455,K455-L455))</f>
        <v/>
      </c>
      <c r="AP455" s="7" t="n"/>
    </row>
    <row r="456">
      <c r="H456" s="7" t="n"/>
      <c r="I456" s="7" t="n"/>
      <c r="J456" s="8">
        <f>IF($E456="","",MAX(Settings!$B$7,ROUND(Settings!$B$8*IF($E456="LONG",H456,I456),2)))</f>
        <v/>
      </c>
      <c r="K456" s="8">
        <f>IF($E456="","",IF($E456="LONG",H456+J456,I456-J456))</f>
        <v/>
      </c>
      <c r="L456" s="7" t="n"/>
      <c r="M456" s="8">
        <f>IF($E456="","",IF($E456="LONG",K456-O456,K456+O456))</f>
        <v/>
      </c>
      <c r="N456" s="7" t="n"/>
      <c r="O456" s="8">
        <f>IF(OR($E456="",AP456=""),"",ROUNDUP(ROUND(MAX(IF($E456="LONG",K456-I456,H456-K456),Settings!$B$9*AP456),6),2))</f>
        <v/>
      </c>
      <c r="P456" s="8">
        <f>IF($E456="","",N456*Settings!$B$4)</f>
        <v/>
      </c>
      <c r="Q456" s="9">
        <f>IF(O456="","",MIN(INT(ROUND(P456/O456,6)),INT(ROUND(Settings!$B$5/K456,6))))</f>
        <v/>
      </c>
      <c r="R456" s="8">
        <f>IF(O456="","",Q456*O456)</f>
        <v/>
      </c>
      <c r="S456" s="8">
        <f>IF(O456="","",IF($E456="LONG",K456+Settings!$B$6*O456,K456-Settings!$B$6*O456))</f>
        <v/>
      </c>
      <c r="T456" s="7" t="n"/>
      <c r="V456" s="8">
        <f>IF(OR($E456="",T456=""),"",IF($E456="LONG",(T456-L456)*Q456,(L456-T456)*Q456))</f>
        <v/>
      </c>
      <c r="W456" s="10">
        <f>IF(V456="","",V456/N456)</f>
        <v/>
      </c>
      <c r="X456" s="11">
        <f>IF(V456="","",V456/R456)</f>
        <v/>
      </c>
      <c r="Y456" s="8">
        <f>IF(OR($E456="",L456=""),"",IF($E456="LONG",L456-K456,K456-L456))</f>
        <v/>
      </c>
      <c r="AP456" s="7" t="n"/>
    </row>
    <row r="457">
      <c r="H457" s="7" t="n"/>
      <c r="I457" s="7" t="n"/>
      <c r="J457" s="8">
        <f>IF($E457="","",MAX(Settings!$B$7,ROUND(Settings!$B$8*IF($E457="LONG",H457,I457),2)))</f>
        <v/>
      </c>
      <c r="K457" s="8">
        <f>IF($E457="","",IF($E457="LONG",H457+J457,I457-J457))</f>
        <v/>
      </c>
      <c r="L457" s="7" t="n"/>
      <c r="M457" s="8">
        <f>IF($E457="","",IF($E457="LONG",K457-O457,K457+O457))</f>
        <v/>
      </c>
      <c r="N457" s="7" t="n"/>
      <c r="O457" s="8">
        <f>IF(OR($E457="",AP457=""),"",ROUNDUP(ROUND(MAX(IF($E457="LONG",K457-I457,H457-K457),Settings!$B$9*AP457),6),2))</f>
        <v/>
      </c>
      <c r="P457" s="8">
        <f>IF($E457="","",N457*Settings!$B$4)</f>
        <v/>
      </c>
      <c r="Q457" s="9">
        <f>IF(O457="","",MIN(INT(ROUND(P457/O457,6)),INT(ROUND(Settings!$B$5/K457,6))))</f>
        <v/>
      </c>
      <c r="R457" s="8">
        <f>IF(O457="","",Q457*O457)</f>
        <v/>
      </c>
      <c r="S457" s="8">
        <f>IF(O457="","",IF($E457="LONG",K457+Settings!$B$6*O457,K457-Settings!$B$6*O457))</f>
        <v/>
      </c>
      <c r="T457" s="7" t="n"/>
      <c r="V457" s="8">
        <f>IF(OR($E457="",T457=""),"",IF($E457="LONG",(T457-L457)*Q457,(L457-T457)*Q457))</f>
        <v/>
      </c>
      <c r="W457" s="10">
        <f>IF(V457="","",V457/N457)</f>
        <v/>
      </c>
      <c r="X457" s="11">
        <f>IF(V457="","",V457/R457)</f>
        <v/>
      </c>
      <c r="Y457" s="8">
        <f>IF(OR($E457="",L457=""),"",IF($E457="LONG",L457-K457,K457-L457))</f>
        <v/>
      </c>
      <c r="AP457" s="7" t="n"/>
    </row>
    <row r="458">
      <c r="H458" s="7" t="n"/>
      <c r="I458" s="7" t="n"/>
      <c r="J458" s="8">
        <f>IF($E458="","",MAX(Settings!$B$7,ROUND(Settings!$B$8*IF($E458="LONG",H458,I458),2)))</f>
        <v/>
      </c>
      <c r="K458" s="8">
        <f>IF($E458="","",IF($E458="LONG",H458+J458,I458-J458))</f>
        <v/>
      </c>
      <c r="L458" s="7" t="n"/>
      <c r="M458" s="8">
        <f>IF($E458="","",IF($E458="LONG",K458-O458,K458+O458))</f>
        <v/>
      </c>
      <c r="N458" s="7" t="n"/>
      <c r="O458" s="8">
        <f>IF(OR($E458="",AP458=""),"",ROUNDUP(ROUND(MAX(IF($E458="LONG",K458-I458,H458-K458),Settings!$B$9*AP458),6),2))</f>
        <v/>
      </c>
      <c r="P458" s="8">
        <f>IF($E458="","",N458*Settings!$B$4)</f>
        <v/>
      </c>
      <c r="Q458" s="9">
        <f>IF(O458="","",MIN(INT(ROUND(P458/O458,6)),INT(ROUND(Settings!$B$5/K458,6))))</f>
        <v/>
      </c>
      <c r="R458" s="8">
        <f>IF(O458="","",Q458*O458)</f>
        <v/>
      </c>
      <c r="S458" s="8">
        <f>IF(O458="","",IF($E458="LONG",K458+Settings!$B$6*O458,K458-Settings!$B$6*O458))</f>
        <v/>
      </c>
      <c r="T458" s="7" t="n"/>
      <c r="V458" s="8">
        <f>IF(OR($E458="",T458=""),"",IF($E458="LONG",(T458-L458)*Q458,(L458-T458)*Q458))</f>
        <v/>
      </c>
      <c r="W458" s="10">
        <f>IF(V458="","",V458/N458)</f>
        <v/>
      </c>
      <c r="X458" s="11">
        <f>IF(V458="","",V458/R458)</f>
        <v/>
      </c>
      <c r="Y458" s="8">
        <f>IF(OR($E458="",L458=""),"",IF($E458="LONG",L458-K458,K458-L458))</f>
        <v/>
      </c>
      <c r="AP458" s="7" t="n"/>
    </row>
    <row r="459">
      <c r="H459" s="7" t="n"/>
      <c r="I459" s="7" t="n"/>
      <c r="J459" s="8">
        <f>IF($E459="","",MAX(Settings!$B$7,ROUND(Settings!$B$8*IF($E459="LONG",H459,I459),2)))</f>
        <v/>
      </c>
      <c r="K459" s="8">
        <f>IF($E459="","",IF($E459="LONG",H459+J459,I459-J459))</f>
        <v/>
      </c>
      <c r="L459" s="7" t="n"/>
      <c r="M459" s="8">
        <f>IF($E459="","",IF($E459="LONG",K459-O459,K459+O459))</f>
        <v/>
      </c>
      <c r="N459" s="7" t="n"/>
      <c r="O459" s="8">
        <f>IF(OR($E459="",AP459=""),"",ROUNDUP(ROUND(MAX(IF($E459="LONG",K459-I459,H459-K459),Settings!$B$9*AP459),6),2))</f>
        <v/>
      </c>
      <c r="P459" s="8">
        <f>IF($E459="","",N459*Settings!$B$4)</f>
        <v/>
      </c>
      <c r="Q459" s="9">
        <f>IF(O459="","",MIN(INT(ROUND(P459/O459,6)),INT(ROUND(Settings!$B$5/K459,6))))</f>
        <v/>
      </c>
      <c r="R459" s="8">
        <f>IF(O459="","",Q459*O459)</f>
        <v/>
      </c>
      <c r="S459" s="8">
        <f>IF(O459="","",IF($E459="LONG",K459+Settings!$B$6*O459,K459-Settings!$B$6*O459))</f>
        <v/>
      </c>
      <c r="T459" s="7" t="n"/>
      <c r="V459" s="8">
        <f>IF(OR($E459="",T459=""),"",IF($E459="LONG",(T459-L459)*Q459,(L459-T459)*Q459))</f>
        <v/>
      </c>
      <c r="W459" s="10">
        <f>IF(V459="","",V459/N459)</f>
        <v/>
      </c>
      <c r="X459" s="11">
        <f>IF(V459="","",V459/R459)</f>
        <v/>
      </c>
      <c r="Y459" s="8">
        <f>IF(OR($E459="",L459=""),"",IF($E459="LONG",L459-K459,K459-L459))</f>
        <v/>
      </c>
      <c r="AP459" s="7" t="n"/>
    </row>
    <row r="460">
      <c r="H460" s="7" t="n"/>
      <c r="I460" s="7" t="n"/>
      <c r="J460" s="8">
        <f>IF($E460="","",MAX(Settings!$B$7,ROUND(Settings!$B$8*IF($E460="LONG",H460,I460),2)))</f>
        <v/>
      </c>
      <c r="K460" s="8">
        <f>IF($E460="","",IF($E460="LONG",H460+J460,I460-J460))</f>
        <v/>
      </c>
      <c r="L460" s="7" t="n"/>
      <c r="M460" s="8">
        <f>IF($E460="","",IF($E460="LONG",K460-O460,K460+O460))</f>
        <v/>
      </c>
      <c r="N460" s="7" t="n"/>
      <c r="O460" s="8">
        <f>IF(OR($E460="",AP460=""),"",ROUNDUP(ROUND(MAX(IF($E460="LONG",K460-I460,H460-K460),Settings!$B$9*AP460),6),2))</f>
        <v/>
      </c>
      <c r="P460" s="8">
        <f>IF($E460="","",N460*Settings!$B$4)</f>
        <v/>
      </c>
      <c r="Q460" s="9">
        <f>IF(O460="","",MIN(INT(ROUND(P460/O460,6)),INT(ROUND(Settings!$B$5/K460,6))))</f>
        <v/>
      </c>
      <c r="R460" s="8">
        <f>IF(O460="","",Q460*O460)</f>
        <v/>
      </c>
      <c r="S460" s="8">
        <f>IF(O460="","",IF($E460="LONG",K460+Settings!$B$6*O460,K460-Settings!$B$6*O460))</f>
        <v/>
      </c>
      <c r="T460" s="7" t="n"/>
      <c r="V460" s="8">
        <f>IF(OR($E460="",T460=""),"",IF($E460="LONG",(T460-L460)*Q460,(L460-T460)*Q460))</f>
        <v/>
      </c>
      <c r="W460" s="10">
        <f>IF(V460="","",V460/N460)</f>
        <v/>
      </c>
      <c r="X460" s="11">
        <f>IF(V460="","",V460/R460)</f>
        <v/>
      </c>
      <c r="Y460" s="8">
        <f>IF(OR($E460="",L460=""),"",IF($E460="LONG",L460-K460,K460-L460))</f>
        <v/>
      </c>
      <c r="AP460" s="7" t="n"/>
    </row>
    <row r="461">
      <c r="H461" s="7" t="n"/>
      <c r="I461" s="7" t="n"/>
      <c r="J461" s="8">
        <f>IF($E461="","",MAX(Settings!$B$7,ROUND(Settings!$B$8*IF($E461="LONG",H461,I461),2)))</f>
        <v/>
      </c>
      <c r="K461" s="8">
        <f>IF($E461="","",IF($E461="LONG",H461+J461,I461-J461))</f>
        <v/>
      </c>
      <c r="L461" s="7" t="n"/>
      <c r="M461" s="8">
        <f>IF($E461="","",IF($E461="LONG",K461-O461,K461+O461))</f>
        <v/>
      </c>
      <c r="N461" s="7" t="n"/>
      <c r="O461" s="8">
        <f>IF(OR($E461="",AP461=""),"",ROUNDUP(ROUND(MAX(IF($E461="LONG",K461-I461,H461-K461),Settings!$B$9*AP461),6),2))</f>
        <v/>
      </c>
      <c r="P461" s="8">
        <f>IF($E461="","",N461*Settings!$B$4)</f>
        <v/>
      </c>
      <c r="Q461" s="9">
        <f>IF(O461="","",MIN(INT(ROUND(P461/O461,6)),INT(ROUND(Settings!$B$5/K461,6))))</f>
        <v/>
      </c>
      <c r="R461" s="8">
        <f>IF(O461="","",Q461*O461)</f>
        <v/>
      </c>
      <c r="S461" s="8">
        <f>IF(O461="","",IF($E461="LONG",K461+Settings!$B$6*O461,K461-Settings!$B$6*O461))</f>
        <v/>
      </c>
      <c r="T461" s="7" t="n"/>
      <c r="V461" s="8">
        <f>IF(OR($E461="",T461=""),"",IF($E461="LONG",(T461-L461)*Q461,(L461-T461)*Q461))</f>
        <v/>
      </c>
      <c r="W461" s="10">
        <f>IF(V461="","",V461/N461)</f>
        <v/>
      </c>
      <c r="X461" s="11">
        <f>IF(V461="","",V461/R461)</f>
        <v/>
      </c>
      <c r="Y461" s="8">
        <f>IF(OR($E461="",L461=""),"",IF($E461="LONG",L461-K461,K461-L461))</f>
        <v/>
      </c>
      <c r="AP461" s="7" t="n"/>
    </row>
    <row r="462">
      <c r="H462" s="7" t="n"/>
      <c r="I462" s="7" t="n"/>
      <c r="J462" s="8">
        <f>IF($E462="","",MAX(Settings!$B$7,ROUND(Settings!$B$8*IF($E462="LONG",H462,I462),2)))</f>
        <v/>
      </c>
      <c r="K462" s="8">
        <f>IF($E462="","",IF($E462="LONG",H462+J462,I462-J462))</f>
        <v/>
      </c>
      <c r="L462" s="7" t="n"/>
      <c r="M462" s="8">
        <f>IF($E462="","",IF($E462="LONG",K462-O462,K462+O462))</f>
        <v/>
      </c>
      <c r="N462" s="7" t="n"/>
      <c r="O462" s="8">
        <f>IF(OR($E462="",AP462=""),"",ROUNDUP(ROUND(MAX(IF($E462="LONG",K462-I462,H462-K462),Settings!$B$9*AP462),6),2))</f>
        <v/>
      </c>
      <c r="P462" s="8">
        <f>IF($E462="","",N462*Settings!$B$4)</f>
        <v/>
      </c>
      <c r="Q462" s="9">
        <f>IF(O462="","",MIN(INT(ROUND(P462/O462,6)),INT(ROUND(Settings!$B$5/K462,6))))</f>
        <v/>
      </c>
      <c r="R462" s="8">
        <f>IF(O462="","",Q462*O462)</f>
        <v/>
      </c>
      <c r="S462" s="8">
        <f>IF(O462="","",IF($E462="LONG",K462+Settings!$B$6*O462,K462-Settings!$B$6*O462))</f>
        <v/>
      </c>
      <c r="T462" s="7" t="n"/>
      <c r="V462" s="8">
        <f>IF(OR($E462="",T462=""),"",IF($E462="LONG",(T462-L462)*Q462,(L462-T462)*Q462))</f>
        <v/>
      </c>
      <c r="W462" s="10">
        <f>IF(V462="","",V462/N462)</f>
        <v/>
      </c>
      <c r="X462" s="11">
        <f>IF(V462="","",V462/R462)</f>
        <v/>
      </c>
      <c r="Y462" s="8">
        <f>IF(OR($E462="",L462=""),"",IF($E462="LONG",L462-K462,K462-L462))</f>
        <v/>
      </c>
      <c r="AP462" s="7" t="n"/>
    </row>
    <row r="463">
      <c r="H463" s="7" t="n"/>
      <c r="I463" s="7" t="n"/>
      <c r="J463" s="8">
        <f>IF($E463="","",MAX(Settings!$B$7,ROUND(Settings!$B$8*IF($E463="LONG",H463,I463),2)))</f>
        <v/>
      </c>
      <c r="K463" s="8">
        <f>IF($E463="","",IF($E463="LONG",H463+J463,I463-J463))</f>
        <v/>
      </c>
      <c r="L463" s="7" t="n"/>
      <c r="M463" s="8">
        <f>IF($E463="","",IF($E463="LONG",K463-O463,K463+O463))</f>
        <v/>
      </c>
      <c r="N463" s="7" t="n"/>
      <c r="O463" s="8">
        <f>IF(OR($E463="",AP463=""),"",ROUNDUP(ROUND(MAX(IF($E463="LONG",K463-I463,H463-K463),Settings!$B$9*AP463),6),2))</f>
        <v/>
      </c>
      <c r="P463" s="8">
        <f>IF($E463="","",N463*Settings!$B$4)</f>
        <v/>
      </c>
      <c r="Q463" s="9">
        <f>IF(O463="","",MIN(INT(ROUND(P463/O463,6)),INT(ROUND(Settings!$B$5/K463,6))))</f>
        <v/>
      </c>
      <c r="R463" s="8">
        <f>IF(O463="","",Q463*O463)</f>
        <v/>
      </c>
      <c r="S463" s="8">
        <f>IF(O463="","",IF($E463="LONG",K463+Settings!$B$6*O463,K463-Settings!$B$6*O463))</f>
        <v/>
      </c>
      <c r="T463" s="7" t="n"/>
      <c r="V463" s="8">
        <f>IF(OR($E463="",T463=""),"",IF($E463="LONG",(T463-L463)*Q463,(L463-T463)*Q463))</f>
        <v/>
      </c>
      <c r="W463" s="10">
        <f>IF(V463="","",V463/N463)</f>
        <v/>
      </c>
      <c r="X463" s="11">
        <f>IF(V463="","",V463/R463)</f>
        <v/>
      </c>
      <c r="Y463" s="8">
        <f>IF(OR($E463="",L463=""),"",IF($E463="LONG",L463-K463,K463-L463))</f>
        <v/>
      </c>
      <c r="AP463" s="7" t="n"/>
    </row>
    <row r="464">
      <c r="H464" s="7" t="n"/>
      <c r="I464" s="7" t="n"/>
      <c r="J464" s="8">
        <f>IF($E464="","",MAX(Settings!$B$7,ROUND(Settings!$B$8*IF($E464="LONG",H464,I464),2)))</f>
        <v/>
      </c>
      <c r="K464" s="8">
        <f>IF($E464="","",IF($E464="LONG",H464+J464,I464-J464))</f>
        <v/>
      </c>
      <c r="L464" s="7" t="n"/>
      <c r="M464" s="8">
        <f>IF($E464="","",IF($E464="LONG",K464-O464,K464+O464))</f>
        <v/>
      </c>
      <c r="N464" s="7" t="n"/>
      <c r="O464" s="8">
        <f>IF(OR($E464="",AP464=""),"",ROUNDUP(ROUND(MAX(IF($E464="LONG",K464-I464,H464-K464),Settings!$B$9*AP464),6),2))</f>
        <v/>
      </c>
      <c r="P464" s="8">
        <f>IF($E464="","",N464*Settings!$B$4)</f>
        <v/>
      </c>
      <c r="Q464" s="9">
        <f>IF(O464="","",MIN(INT(ROUND(P464/O464,6)),INT(ROUND(Settings!$B$5/K464,6))))</f>
        <v/>
      </c>
      <c r="R464" s="8">
        <f>IF(O464="","",Q464*O464)</f>
        <v/>
      </c>
      <c r="S464" s="8">
        <f>IF(O464="","",IF($E464="LONG",K464+Settings!$B$6*O464,K464-Settings!$B$6*O464))</f>
        <v/>
      </c>
      <c r="T464" s="7" t="n"/>
      <c r="V464" s="8">
        <f>IF(OR($E464="",T464=""),"",IF($E464="LONG",(T464-L464)*Q464,(L464-T464)*Q464))</f>
        <v/>
      </c>
      <c r="W464" s="10">
        <f>IF(V464="","",V464/N464)</f>
        <v/>
      </c>
      <c r="X464" s="11">
        <f>IF(V464="","",V464/R464)</f>
        <v/>
      </c>
      <c r="Y464" s="8">
        <f>IF(OR($E464="",L464=""),"",IF($E464="LONG",L464-K464,K464-L464))</f>
        <v/>
      </c>
      <c r="AP464" s="7" t="n"/>
    </row>
    <row r="465">
      <c r="H465" s="7" t="n"/>
      <c r="I465" s="7" t="n"/>
      <c r="J465" s="8">
        <f>IF($E465="","",MAX(Settings!$B$7,ROUND(Settings!$B$8*IF($E465="LONG",H465,I465),2)))</f>
        <v/>
      </c>
      <c r="K465" s="8">
        <f>IF($E465="","",IF($E465="LONG",H465+J465,I465-J465))</f>
        <v/>
      </c>
      <c r="L465" s="7" t="n"/>
      <c r="M465" s="8">
        <f>IF($E465="","",IF($E465="LONG",K465-O465,K465+O465))</f>
        <v/>
      </c>
      <c r="N465" s="7" t="n"/>
      <c r="O465" s="8">
        <f>IF(OR($E465="",AP465=""),"",ROUNDUP(ROUND(MAX(IF($E465="LONG",K465-I465,H465-K465),Settings!$B$9*AP465),6),2))</f>
        <v/>
      </c>
      <c r="P465" s="8">
        <f>IF($E465="","",N465*Settings!$B$4)</f>
        <v/>
      </c>
      <c r="Q465" s="9">
        <f>IF(O465="","",MIN(INT(ROUND(P465/O465,6)),INT(ROUND(Settings!$B$5/K465,6))))</f>
        <v/>
      </c>
      <c r="R465" s="8">
        <f>IF(O465="","",Q465*O465)</f>
        <v/>
      </c>
      <c r="S465" s="8">
        <f>IF(O465="","",IF($E465="LONG",K465+Settings!$B$6*O465,K465-Settings!$B$6*O465))</f>
        <v/>
      </c>
      <c r="T465" s="7" t="n"/>
      <c r="V465" s="8">
        <f>IF(OR($E465="",T465=""),"",IF($E465="LONG",(T465-L465)*Q465,(L465-T465)*Q465))</f>
        <v/>
      </c>
      <c r="W465" s="10">
        <f>IF(V465="","",V465/N465)</f>
        <v/>
      </c>
      <c r="X465" s="11">
        <f>IF(V465="","",V465/R465)</f>
        <v/>
      </c>
      <c r="Y465" s="8">
        <f>IF(OR($E465="",L465=""),"",IF($E465="LONG",L465-K465,K465-L465))</f>
        <v/>
      </c>
      <c r="AP465" s="7" t="n"/>
    </row>
    <row r="466">
      <c r="H466" s="7" t="n"/>
      <c r="I466" s="7" t="n"/>
      <c r="J466" s="8">
        <f>IF($E466="","",MAX(Settings!$B$7,ROUND(Settings!$B$8*IF($E466="LONG",H466,I466),2)))</f>
        <v/>
      </c>
      <c r="K466" s="8">
        <f>IF($E466="","",IF($E466="LONG",H466+J466,I466-J466))</f>
        <v/>
      </c>
      <c r="L466" s="7" t="n"/>
      <c r="M466" s="8">
        <f>IF($E466="","",IF($E466="LONG",K466-O466,K466+O466))</f>
        <v/>
      </c>
      <c r="N466" s="7" t="n"/>
      <c r="O466" s="8">
        <f>IF(OR($E466="",AP466=""),"",ROUNDUP(ROUND(MAX(IF($E466="LONG",K466-I466,H466-K466),Settings!$B$9*AP466),6),2))</f>
        <v/>
      </c>
      <c r="P466" s="8">
        <f>IF($E466="","",N466*Settings!$B$4)</f>
        <v/>
      </c>
      <c r="Q466" s="9">
        <f>IF(O466="","",MIN(INT(ROUND(P466/O466,6)),INT(ROUND(Settings!$B$5/K466,6))))</f>
        <v/>
      </c>
      <c r="R466" s="8">
        <f>IF(O466="","",Q466*O466)</f>
        <v/>
      </c>
      <c r="S466" s="8">
        <f>IF(O466="","",IF($E466="LONG",K466+Settings!$B$6*O466,K466-Settings!$B$6*O466))</f>
        <v/>
      </c>
      <c r="T466" s="7" t="n"/>
      <c r="V466" s="8">
        <f>IF(OR($E466="",T466=""),"",IF($E466="LONG",(T466-L466)*Q466,(L466-T466)*Q466))</f>
        <v/>
      </c>
      <c r="W466" s="10">
        <f>IF(V466="","",V466/N466)</f>
        <v/>
      </c>
      <c r="X466" s="11">
        <f>IF(V466="","",V466/R466)</f>
        <v/>
      </c>
      <c r="Y466" s="8">
        <f>IF(OR($E466="",L466=""),"",IF($E466="LONG",L466-K466,K466-L466))</f>
        <v/>
      </c>
      <c r="AP466" s="7" t="n"/>
    </row>
    <row r="467">
      <c r="H467" s="7" t="n"/>
      <c r="I467" s="7" t="n"/>
      <c r="J467" s="8">
        <f>IF($E467="","",MAX(Settings!$B$7,ROUND(Settings!$B$8*IF($E467="LONG",H467,I467),2)))</f>
        <v/>
      </c>
      <c r="K467" s="8">
        <f>IF($E467="","",IF($E467="LONG",H467+J467,I467-J467))</f>
        <v/>
      </c>
      <c r="L467" s="7" t="n"/>
      <c r="M467" s="8">
        <f>IF($E467="","",IF($E467="LONG",K467-O467,K467+O467))</f>
        <v/>
      </c>
      <c r="N467" s="7" t="n"/>
      <c r="O467" s="8">
        <f>IF(OR($E467="",AP467=""),"",ROUNDUP(ROUND(MAX(IF($E467="LONG",K467-I467,H467-K467),Settings!$B$9*AP467),6),2))</f>
        <v/>
      </c>
      <c r="P467" s="8">
        <f>IF($E467="","",N467*Settings!$B$4)</f>
        <v/>
      </c>
      <c r="Q467" s="9">
        <f>IF(O467="","",MIN(INT(ROUND(P467/O467,6)),INT(ROUND(Settings!$B$5/K467,6))))</f>
        <v/>
      </c>
      <c r="R467" s="8">
        <f>IF(O467="","",Q467*O467)</f>
        <v/>
      </c>
      <c r="S467" s="8">
        <f>IF(O467="","",IF($E467="LONG",K467+Settings!$B$6*O467,K467-Settings!$B$6*O467))</f>
        <v/>
      </c>
      <c r="T467" s="7" t="n"/>
      <c r="V467" s="8">
        <f>IF(OR($E467="",T467=""),"",IF($E467="LONG",(T467-L467)*Q467,(L467-T467)*Q467))</f>
        <v/>
      </c>
      <c r="W467" s="10">
        <f>IF(V467="","",V467/N467)</f>
        <v/>
      </c>
      <c r="X467" s="11">
        <f>IF(V467="","",V467/R467)</f>
        <v/>
      </c>
      <c r="Y467" s="8">
        <f>IF(OR($E467="",L467=""),"",IF($E467="LONG",L467-K467,K467-L467))</f>
        <v/>
      </c>
      <c r="AP467" s="7" t="n"/>
    </row>
    <row r="468">
      <c r="H468" s="7" t="n"/>
      <c r="I468" s="7" t="n"/>
      <c r="J468" s="8">
        <f>IF($E468="","",MAX(Settings!$B$7,ROUND(Settings!$B$8*IF($E468="LONG",H468,I468),2)))</f>
        <v/>
      </c>
      <c r="K468" s="8">
        <f>IF($E468="","",IF($E468="LONG",H468+J468,I468-J468))</f>
        <v/>
      </c>
      <c r="L468" s="7" t="n"/>
      <c r="M468" s="8">
        <f>IF($E468="","",IF($E468="LONG",K468-O468,K468+O468))</f>
        <v/>
      </c>
      <c r="N468" s="7" t="n"/>
      <c r="O468" s="8">
        <f>IF(OR($E468="",AP468=""),"",ROUNDUP(ROUND(MAX(IF($E468="LONG",K468-I468,H468-K468),Settings!$B$9*AP468),6),2))</f>
        <v/>
      </c>
      <c r="P468" s="8">
        <f>IF($E468="","",N468*Settings!$B$4)</f>
        <v/>
      </c>
      <c r="Q468" s="9">
        <f>IF(O468="","",MIN(INT(ROUND(P468/O468,6)),INT(ROUND(Settings!$B$5/K468,6))))</f>
        <v/>
      </c>
      <c r="R468" s="8">
        <f>IF(O468="","",Q468*O468)</f>
        <v/>
      </c>
      <c r="S468" s="8">
        <f>IF(O468="","",IF($E468="LONG",K468+Settings!$B$6*O468,K468-Settings!$B$6*O468))</f>
        <v/>
      </c>
      <c r="T468" s="7" t="n"/>
      <c r="V468" s="8">
        <f>IF(OR($E468="",T468=""),"",IF($E468="LONG",(T468-L468)*Q468,(L468-T468)*Q468))</f>
        <v/>
      </c>
      <c r="W468" s="10">
        <f>IF(V468="","",V468/N468)</f>
        <v/>
      </c>
      <c r="X468" s="11">
        <f>IF(V468="","",V468/R468)</f>
        <v/>
      </c>
      <c r="Y468" s="8">
        <f>IF(OR($E468="",L468=""),"",IF($E468="LONG",L468-K468,K468-L468))</f>
        <v/>
      </c>
      <c r="AP468" s="7" t="n"/>
    </row>
    <row r="469">
      <c r="H469" s="7" t="n"/>
      <c r="I469" s="7" t="n"/>
      <c r="J469" s="8">
        <f>IF($E469="","",MAX(Settings!$B$7,ROUND(Settings!$B$8*IF($E469="LONG",H469,I469),2)))</f>
        <v/>
      </c>
      <c r="K469" s="8">
        <f>IF($E469="","",IF($E469="LONG",H469+J469,I469-J469))</f>
        <v/>
      </c>
      <c r="L469" s="7" t="n"/>
      <c r="M469" s="8">
        <f>IF($E469="","",IF($E469="LONG",K469-O469,K469+O469))</f>
        <v/>
      </c>
      <c r="N469" s="7" t="n"/>
      <c r="O469" s="8">
        <f>IF(OR($E469="",AP469=""),"",ROUNDUP(ROUND(MAX(IF($E469="LONG",K469-I469,H469-K469),Settings!$B$9*AP469),6),2))</f>
        <v/>
      </c>
      <c r="P469" s="8">
        <f>IF($E469="","",N469*Settings!$B$4)</f>
        <v/>
      </c>
      <c r="Q469" s="9">
        <f>IF(O469="","",MIN(INT(ROUND(P469/O469,6)),INT(ROUND(Settings!$B$5/K469,6))))</f>
        <v/>
      </c>
      <c r="R469" s="8">
        <f>IF(O469="","",Q469*O469)</f>
        <v/>
      </c>
      <c r="S469" s="8">
        <f>IF(O469="","",IF($E469="LONG",K469+Settings!$B$6*O469,K469-Settings!$B$6*O469))</f>
        <v/>
      </c>
      <c r="T469" s="7" t="n"/>
      <c r="V469" s="8">
        <f>IF(OR($E469="",T469=""),"",IF($E469="LONG",(T469-L469)*Q469,(L469-T469)*Q469))</f>
        <v/>
      </c>
      <c r="W469" s="10">
        <f>IF(V469="","",V469/N469)</f>
        <v/>
      </c>
      <c r="X469" s="11">
        <f>IF(V469="","",V469/R469)</f>
        <v/>
      </c>
      <c r="Y469" s="8">
        <f>IF(OR($E469="",L469=""),"",IF($E469="LONG",L469-K469,K469-L469))</f>
        <v/>
      </c>
      <c r="AP469" s="7" t="n"/>
    </row>
    <row r="470">
      <c r="H470" s="7" t="n"/>
      <c r="I470" s="7" t="n"/>
      <c r="J470" s="8">
        <f>IF($E470="","",MAX(Settings!$B$7,ROUND(Settings!$B$8*IF($E470="LONG",H470,I470),2)))</f>
        <v/>
      </c>
      <c r="K470" s="8">
        <f>IF($E470="","",IF($E470="LONG",H470+J470,I470-J470))</f>
        <v/>
      </c>
      <c r="L470" s="7" t="n"/>
      <c r="M470" s="8">
        <f>IF($E470="","",IF($E470="LONG",K470-O470,K470+O470))</f>
        <v/>
      </c>
      <c r="N470" s="7" t="n"/>
      <c r="O470" s="8">
        <f>IF(OR($E470="",AP470=""),"",ROUNDUP(ROUND(MAX(IF($E470="LONG",K470-I470,H470-K470),Settings!$B$9*AP470),6),2))</f>
        <v/>
      </c>
      <c r="P470" s="8">
        <f>IF($E470="","",N470*Settings!$B$4)</f>
        <v/>
      </c>
      <c r="Q470" s="9">
        <f>IF(O470="","",MIN(INT(ROUND(P470/O470,6)),INT(ROUND(Settings!$B$5/K470,6))))</f>
        <v/>
      </c>
      <c r="R470" s="8">
        <f>IF(O470="","",Q470*O470)</f>
        <v/>
      </c>
      <c r="S470" s="8">
        <f>IF(O470="","",IF($E470="LONG",K470+Settings!$B$6*O470,K470-Settings!$B$6*O470))</f>
        <v/>
      </c>
      <c r="T470" s="7" t="n"/>
      <c r="V470" s="8">
        <f>IF(OR($E470="",T470=""),"",IF($E470="LONG",(T470-L470)*Q470,(L470-T470)*Q470))</f>
        <v/>
      </c>
      <c r="W470" s="10">
        <f>IF(V470="","",V470/N470)</f>
        <v/>
      </c>
      <c r="X470" s="11">
        <f>IF(V470="","",V470/R470)</f>
        <v/>
      </c>
      <c r="Y470" s="8">
        <f>IF(OR($E470="",L470=""),"",IF($E470="LONG",L470-K470,K470-L470))</f>
        <v/>
      </c>
      <c r="AP470" s="7" t="n"/>
    </row>
    <row r="471">
      <c r="H471" s="7" t="n"/>
      <c r="I471" s="7" t="n"/>
      <c r="J471" s="8">
        <f>IF($E471="","",MAX(Settings!$B$7,ROUND(Settings!$B$8*IF($E471="LONG",H471,I471),2)))</f>
        <v/>
      </c>
      <c r="K471" s="8">
        <f>IF($E471="","",IF($E471="LONG",H471+J471,I471-J471))</f>
        <v/>
      </c>
      <c r="L471" s="7" t="n"/>
      <c r="M471" s="8">
        <f>IF($E471="","",IF($E471="LONG",K471-O471,K471+O471))</f>
        <v/>
      </c>
      <c r="N471" s="7" t="n"/>
      <c r="O471" s="8">
        <f>IF(OR($E471="",AP471=""),"",ROUNDUP(ROUND(MAX(IF($E471="LONG",K471-I471,H471-K471),Settings!$B$9*AP471),6),2))</f>
        <v/>
      </c>
      <c r="P471" s="8">
        <f>IF($E471="","",N471*Settings!$B$4)</f>
        <v/>
      </c>
      <c r="Q471" s="9">
        <f>IF(O471="","",MIN(INT(ROUND(P471/O471,6)),INT(ROUND(Settings!$B$5/K471,6))))</f>
        <v/>
      </c>
      <c r="R471" s="8">
        <f>IF(O471="","",Q471*O471)</f>
        <v/>
      </c>
      <c r="S471" s="8">
        <f>IF(O471="","",IF($E471="LONG",K471+Settings!$B$6*O471,K471-Settings!$B$6*O471))</f>
        <v/>
      </c>
      <c r="T471" s="7" t="n"/>
      <c r="V471" s="8">
        <f>IF(OR($E471="",T471=""),"",IF($E471="LONG",(T471-L471)*Q471,(L471-T471)*Q471))</f>
        <v/>
      </c>
      <c r="W471" s="10">
        <f>IF(V471="","",V471/N471)</f>
        <v/>
      </c>
      <c r="X471" s="11">
        <f>IF(V471="","",V471/R471)</f>
        <v/>
      </c>
      <c r="Y471" s="8">
        <f>IF(OR($E471="",L471=""),"",IF($E471="LONG",L471-K471,K471-L471))</f>
        <v/>
      </c>
      <c r="AP471" s="7" t="n"/>
    </row>
    <row r="472">
      <c r="H472" s="7" t="n"/>
      <c r="I472" s="7" t="n"/>
      <c r="J472" s="8">
        <f>IF($E472="","",MAX(Settings!$B$7,ROUND(Settings!$B$8*IF($E472="LONG",H472,I472),2)))</f>
        <v/>
      </c>
      <c r="K472" s="8">
        <f>IF($E472="","",IF($E472="LONG",H472+J472,I472-J472))</f>
        <v/>
      </c>
      <c r="L472" s="7" t="n"/>
      <c r="M472" s="8">
        <f>IF($E472="","",IF($E472="LONG",K472-O472,K472+O472))</f>
        <v/>
      </c>
      <c r="N472" s="7" t="n"/>
      <c r="O472" s="8">
        <f>IF(OR($E472="",AP472=""),"",ROUNDUP(ROUND(MAX(IF($E472="LONG",K472-I472,H472-K472),Settings!$B$9*AP472),6),2))</f>
        <v/>
      </c>
      <c r="P472" s="8">
        <f>IF($E472="","",N472*Settings!$B$4)</f>
        <v/>
      </c>
      <c r="Q472" s="9">
        <f>IF(O472="","",MIN(INT(ROUND(P472/O472,6)),INT(ROUND(Settings!$B$5/K472,6))))</f>
        <v/>
      </c>
      <c r="R472" s="8">
        <f>IF(O472="","",Q472*O472)</f>
        <v/>
      </c>
      <c r="S472" s="8">
        <f>IF(O472="","",IF($E472="LONG",K472+Settings!$B$6*O472,K472-Settings!$B$6*O472))</f>
        <v/>
      </c>
      <c r="T472" s="7" t="n"/>
      <c r="V472" s="8">
        <f>IF(OR($E472="",T472=""),"",IF($E472="LONG",(T472-L472)*Q472,(L472-T472)*Q472))</f>
        <v/>
      </c>
      <c r="W472" s="10">
        <f>IF(V472="","",V472/N472)</f>
        <v/>
      </c>
      <c r="X472" s="11">
        <f>IF(V472="","",V472/R472)</f>
        <v/>
      </c>
      <c r="Y472" s="8">
        <f>IF(OR($E472="",L472=""),"",IF($E472="LONG",L472-K472,K472-L472))</f>
        <v/>
      </c>
      <c r="AP472" s="7" t="n"/>
    </row>
    <row r="473">
      <c r="H473" s="7" t="n"/>
      <c r="I473" s="7" t="n"/>
      <c r="J473" s="8">
        <f>IF($E473="","",MAX(Settings!$B$7,ROUND(Settings!$B$8*IF($E473="LONG",H473,I473),2)))</f>
        <v/>
      </c>
      <c r="K473" s="8">
        <f>IF($E473="","",IF($E473="LONG",H473+J473,I473-J473))</f>
        <v/>
      </c>
      <c r="L473" s="7" t="n"/>
      <c r="M473" s="8">
        <f>IF($E473="","",IF($E473="LONG",K473-O473,K473+O473))</f>
        <v/>
      </c>
      <c r="N473" s="7" t="n"/>
      <c r="O473" s="8">
        <f>IF(OR($E473="",AP473=""),"",ROUNDUP(ROUND(MAX(IF($E473="LONG",K473-I473,H473-K473),Settings!$B$9*AP473),6),2))</f>
        <v/>
      </c>
      <c r="P473" s="8">
        <f>IF($E473="","",N473*Settings!$B$4)</f>
        <v/>
      </c>
      <c r="Q473" s="9">
        <f>IF(O473="","",MIN(INT(ROUND(P473/O473,6)),INT(ROUND(Settings!$B$5/K473,6))))</f>
        <v/>
      </c>
      <c r="R473" s="8">
        <f>IF(O473="","",Q473*O473)</f>
        <v/>
      </c>
      <c r="S473" s="8">
        <f>IF(O473="","",IF($E473="LONG",K473+Settings!$B$6*O473,K473-Settings!$B$6*O473))</f>
        <v/>
      </c>
      <c r="T473" s="7" t="n"/>
      <c r="V473" s="8">
        <f>IF(OR($E473="",T473=""),"",IF($E473="LONG",(T473-L473)*Q473,(L473-T473)*Q473))</f>
        <v/>
      </c>
      <c r="W473" s="10">
        <f>IF(V473="","",V473/N473)</f>
        <v/>
      </c>
      <c r="X473" s="11">
        <f>IF(V473="","",V473/R473)</f>
        <v/>
      </c>
      <c r="Y473" s="8">
        <f>IF(OR($E473="",L473=""),"",IF($E473="LONG",L473-K473,K473-L473))</f>
        <v/>
      </c>
      <c r="AP473" s="7" t="n"/>
    </row>
    <row r="474">
      <c r="H474" s="7" t="n"/>
      <c r="I474" s="7" t="n"/>
      <c r="J474" s="8">
        <f>IF($E474="","",MAX(Settings!$B$7,ROUND(Settings!$B$8*IF($E474="LONG",H474,I474),2)))</f>
        <v/>
      </c>
      <c r="K474" s="8">
        <f>IF($E474="","",IF($E474="LONG",H474+J474,I474-J474))</f>
        <v/>
      </c>
      <c r="L474" s="7" t="n"/>
      <c r="M474" s="8">
        <f>IF($E474="","",IF($E474="LONG",K474-O474,K474+O474))</f>
        <v/>
      </c>
      <c r="N474" s="7" t="n"/>
      <c r="O474" s="8">
        <f>IF(OR($E474="",AP474=""),"",ROUNDUP(ROUND(MAX(IF($E474="LONG",K474-I474,H474-K474),Settings!$B$9*AP474),6),2))</f>
        <v/>
      </c>
      <c r="P474" s="8">
        <f>IF($E474="","",N474*Settings!$B$4)</f>
        <v/>
      </c>
      <c r="Q474" s="9">
        <f>IF(O474="","",MIN(INT(ROUND(P474/O474,6)),INT(ROUND(Settings!$B$5/K474,6))))</f>
        <v/>
      </c>
      <c r="R474" s="8">
        <f>IF(O474="","",Q474*O474)</f>
        <v/>
      </c>
      <c r="S474" s="8">
        <f>IF(O474="","",IF($E474="LONG",K474+Settings!$B$6*O474,K474-Settings!$B$6*O474))</f>
        <v/>
      </c>
      <c r="T474" s="7" t="n"/>
      <c r="V474" s="8">
        <f>IF(OR($E474="",T474=""),"",IF($E474="LONG",(T474-L474)*Q474,(L474-T474)*Q474))</f>
        <v/>
      </c>
      <c r="W474" s="10">
        <f>IF(V474="","",V474/N474)</f>
        <v/>
      </c>
      <c r="X474" s="11">
        <f>IF(V474="","",V474/R474)</f>
        <v/>
      </c>
      <c r="Y474" s="8">
        <f>IF(OR($E474="",L474=""),"",IF($E474="LONG",L474-K474,K474-L474))</f>
        <v/>
      </c>
      <c r="AP474" s="7" t="n"/>
    </row>
    <row r="475">
      <c r="H475" s="7" t="n"/>
      <c r="I475" s="7" t="n"/>
      <c r="J475" s="8">
        <f>IF($E475="","",MAX(Settings!$B$7,ROUND(Settings!$B$8*IF($E475="LONG",H475,I475),2)))</f>
        <v/>
      </c>
      <c r="K475" s="8">
        <f>IF($E475="","",IF($E475="LONG",H475+J475,I475-J475))</f>
        <v/>
      </c>
      <c r="L475" s="7" t="n"/>
      <c r="M475" s="8">
        <f>IF($E475="","",IF($E475="LONG",K475-O475,K475+O475))</f>
        <v/>
      </c>
      <c r="N475" s="7" t="n"/>
      <c r="O475" s="8">
        <f>IF(OR($E475="",AP475=""),"",ROUNDUP(ROUND(MAX(IF($E475="LONG",K475-I475,H475-K475),Settings!$B$9*AP475),6),2))</f>
        <v/>
      </c>
      <c r="P475" s="8">
        <f>IF($E475="","",N475*Settings!$B$4)</f>
        <v/>
      </c>
      <c r="Q475" s="9">
        <f>IF(O475="","",MIN(INT(ROUND(P475/O475,6)),INT(ROUND(Settings!$B$5/K475,6))))</f>
        <v/>
      </c>
      <c r="R475" s="8">
        <f>IF(O475="","",Q475*O475)</f>
        <v/>
      </c>
      <c r="S475" s="8">
        <f>IF(O475="","",IF($E475="LONG",K475+Settings!$B$6*O475,K475-Settings!$B$6*O475))</f>
        <v/>
      </c>
      <c r="T475" s="7" t="n"/>
      <c r="V475" s="8">
        <f>IF(OR($E475="",T475=""),"",IF($E475="LONG",(T475-L475)*Q475,(L475-T475)*Q475))</f>
        <v/>
      </c>
      <c r="W475" s="10">
        <f>IF(V475="","",V475/N475)</f>
        <v/>
      </c>
      <c r="X475" s="11">
        <f>IF(V475="","",V475/R475)</f>
        <v/>
      </c>
      <c r="Y475" s="8">
        <f>IF(OR($E475="",L475=""),"",IF($E475="LONG",L475-K475,K475-L475))</f>
        <v/>
      </c>
      <c r="AP475" s="7" t="n"/>
    </row>
    <row r="476">
      <c r="H476" s="7" t="n"/>
      <c r="I476" s="7" t="n"/>
      <c r="J476" s="8">
        <f>IF($E476="","",MAX(Settings!$B$7,ROUND(Settings!$B$8*IF($E476="LONG",H476,I476),2)))</f>
        <v/>
      </c>
      <c r="K476" s="8">
        <f>IF($E476="","",IF($E476="LONG",H476+J476,I476-J476))</f>
        <v/>
      </c>
      <c r="L476" s="7" t="n"/>
      <c r="M476" s="8">
        <f>IF($E476="","",IF($E476="LONG",K476-O476,K476+O476))</f>
        <v/>
      </c>
      <c r="N476" s="7" t="n"/>
      <c r="O476" s="8">
        <f>IF(OR($E476="",AP476=""),"",ROUNDUP(ROUND(MAX(IF($E476="LONG",K476-I476,H476-K476),Settings!$B$9*AP476),6),2))</f>
        <v/>
      </c>
      <c r="P476" s="8">
        <f>IF($E476="","",N476*Settings!$B$4)</f>
        <v/>
      </c>
      <c r="Q476" s="9">
        <f>IF(O476="","",MIN(INT(ROUND(P476/O476,6)),INT(ROUND(Settings!$B$5/K476,6))))</f>
        <v/>
      </c>
      <c r="R476" s="8">
        <f>IF(O476="","",Q476*O476)</f>
        <v/>
      </c>
      <c r="S476" s="8">
        <f>IF(O476="","",IF($E476="LONG",K476+Settings!$B$6*O476,K476-Settings!$B$6*O476))</f>
        <v/>
      </c>
      <c r="T476" s="7" t="n"/>
      <c r="V476" s="8">
        <f>IF(OR($E476="",T476=""),"",IF($E476="LONG",(T476-L476)*Q476,(L476-T476)*Q476))</f>
        <v/>
      </c>
      <c r="W476" s="10">
        <f>IF(V476="","",V476/N476)</f>
        <v/>
      </c>
      <c r="X476" s="11">
        <f>IF(V476="","",V476/R476)</f>
        <v/>
      </c>
      <c r="Y476" s="8">
        <f>IF(OR($E476="",L476=""),"",IF($E476="LONG",L476-K476,K476-L476))</f>
        <v/>
      </c>
      <c r="AP476" s="7" t="n"/>
    </row>
    <row r="477">
      <c r="H477" s="7" t="n"/>
      <c r="I477" s="7" t="n"/>
      <c r="J477" s="8">
        <f>IF($E477="","",MAX(Settings!$B$7,ROUND(Settings!$B$8*IF($E477="LONG",H477,I477),2)))</f>
        <v/>
      </c>
      <c r="K477" s="8">
        <f>IF($E477="","",IF($E477="LONG",H477+J477,I477-J477))</f>
        <v/>
      </c>
      <c r="L477" s="7" t="n"/>
      <c r="M477" s="8">
        <f>IF($E477="","",IF($E477="LONG",K477-O477,K477+O477))</f>
        <v/>
      </c>
      <c r="N477" s="7" t="n"/>
      <c r="O477" s="8">
        <f>IF(OR($E477="",AP477=""),"",ROUNDUP(ROUND(MAX(IF($E477="LONG",K477-I477,H477-K477),Settings!$B$9*AP477),6),2))</f>
        <v/>
      </c>
      <c r="P477" s="8">
        <f>IF($E477="","",N477*Settings!$B$4)</f>
        <v/>
      </c>
      <c r="Q477" s="9">
        <f>IF(O477="","",MIN(INT(ROUND(P477/O477,6)),INT(ROUND(Settings!$B$5/K477,6))))</f>
        <v/>
      </c>
      <c r="R477" s="8">
        <f>IF(O477="","",Q477*O477)</f>
        <v/>
      </c>
      <c r="S477" s="8">
        <f>IF(O477="","",IF($E477="LONG",K477+Settings!$B$6*O477,K477-Settings!$B$6*O477))</f>
        <v/>
      </c>
      <c r="T477" s="7" t="n"/>
      <c r="V477" s="8">
        <f>IF(OR($E477="",T477=""),"",IF($E477="LONG",(T477-L477)*Q477,(L477-T477)*Q477))</f>
        <v/>
      </c>
      <c r="W477" s="10">
        <f>IF(V477="","",V477/N477)</f>
        <v/>
      </c>
      <c r="X477" s="11">
        <f>IF(V477="","",V477/R477)</f>
        <v/>
      </c>
      <c r="Y477" s="8">
        <f>IF(OR($E477="",L477=""),"",IF($E477="LONG",L477-K477,K477-L477))</f>
        <v/>
      </c>
      <c r="AP477" s="7" t="n"/>
    </row>
    <row r="478">
      <c r="H478" s="7" t="n"/>
      <c r="I478" s="7" t="n"/>
      <c r="J478" s="8">
        <f>IF($E478="","",MAX(Settings!$B$7,ROUND(Settings!$B$8*IF($E478="LONG",H478,I478),2)))</f>
        <v/>
      </c>
      <c r="K478" s="8">
        <f>IF($E478="","",IF($E478="LONG",H478+J478,I478-J478))</f>
        <v/>
      </c>
      <c r="L478" s="7" t="n"/>
      <c r="M478" s="8">
        <f>IF($E478="","",IF($E478="LONG",K478-O478,K478+O478))</f>
        <v/>
      </c>
      <c r="N478" s="7" t="n"/>
      <c r="O478" s="8">
        <f>IF(OR($E478="",AP478=""),"",ROUNDUP(ROUND(MAX(IF($E478="LONG",K478-I478,H478-K478),Settings!$B$9*AP478),6),2))</f>
        <v/>
      </c>
      <c r="P478" s="8">
        <f>IF($E478="","",N478*Settings!$B$4)</f>
        <v/>
      </c>
      <c r="Q478" s="9">
        <f>IF(O478="","",MIN(INT(ROUND(P478/O478,6)),INT(ROUND(Settings!$B$5/K478,6))))</f>
        <v/>
      </c>
      <c r="R478" s="8">
        <f>IF(O478="","",Q478*O478)</f>
        <v/>
      </c>
      <c r="S478" s="8">
        <f>IF(O478="","",IF($E478="LONG",K478+Settings!$B$6*O478,K478-Settings!$B$6*O478))</f>
        <v/>
      </c>
      <c r="T478" s="7" t="n"/>
      <c r="V478" s="8">
        <f>IF(OR($E478="",T478=""),"",IF($E478="LONG",(T478-L478)*Q478,(L478-T478)*Q478))</f>
        <v/>
      </c>
      <c r="W478" s="10">
        <f>IF(V478="","",V478/N478)</f>
        <v/>
      </c>
      <c r="X478" s="11">
        <f>IF(V478="","",V478/R478)</f>
        <v/>
      </c>
      <c r="Y478" s="8">
        <f>IF(OR($E478="",L478=""),"",IF($E478="LONG",L478-K478,K478-L478))</f>
        <v/>
      </c>
      <c r="AP478" s="7" t="n"/>
    </row>
    <row r="479">
      <c r="H479" s="7" t="n"/>
      <c r="I479" s="7" t="n"/>
      <c r="J479" s="8">
        <f>IF($E479="","",MAX(Settings!$B$7,ROUND(Settings!$B$8*IF($E479="LONG",H479,I479),2)))</f>
        <v/>
      </c>
      <c r="K479" s="8">
        <f>IF($E479="","",IF($E479="LONG",H479+J479,I479-J479))</f>
        <v/>
      </c>
      <c r="L479" s="7" t="n"/>
      <c r="M479" s="8">
        <f>IF($E479="","",IF($E479="LONG",K479-O479,K479+O479))</f>
        <v/>
      </c>
      <c r="N479" s="7" t="n"/>
      <c r="O479" s="8">
        <f>IF(OR($E479="",AP479=""),"",ROUNDUP(ROUND(MAX(IF($E479="LONG",K479-I479,H479-K479),Settings!$B$9*AP479),6),2))</f>
        <v/>
      </c>
      <c r="P479" s="8">
        <f>IF($E479="","",N479*Settings!$B$4)</f>
        <v/>
      </c>
      <c r="Q479" s="9">
        <f>IF(O479="","",MIN(INT(ROUND(P479/O479,6)),INT(ROUND(Settings!$B$5/K479,6))))</f>
        <v/>
      </c>
      <c r="R479" s="8">
        <f>IF(O479="","",Q479*O479)</f>
        <v/>
      </c>
      <c r="S479" s="8">
        <f>IF(O479="","",IF($E479="LONG",K479+Settings!$B$6*O479,K479-Settings!$B$6*O479))</f>
        <v/>
      </c>
      <c r="T479" s="7" t="n"/>
      <c r="V479" s="8">
        <f>IF(OR($E479="",T479=""),"",IF($E479="LONG",(T479-L479)*Q479,(L479-T479)*Q479))</f>
        <v/>
      </c>
      <c r="W479" s="10">
        <f>IF(V479="","",V479/N479)</f>
        <v/>
      </c>
      <c r="X479" s="11">
        <f>IF(V479="","",V479/R479)</f>
        <v/>
      </c>
      <c r="Y479" s="8">
        <f>IF(OR($E479="",L479=""),"",IF($E479="LONG",L479-K479,K479-L479))</f>
        <v/>
      </c>
      <c r="AP479" s="7" t="n"/>
    </row>
    <row r="480">
      <c r="H480" s="7" t="n"/>
      <c r="I480" s="7" t="n"/>
      <c r="J480" s="8">
        <f>IF($E480="","",MAX(Settings!$B$7,ROUND(Settings!$B$8*IF($E480="LONG",H480,I480),2)))</f>
        <v/>
      </c>
      <c r="K480" s="8">
        <f>IF($E480="","",IF($E480="LONG",H480+J480,I480-J480))</f>
        <v/>
      </c>
      <c r="L480" s="7" t="n"/>
      <c r="M480" s="8">
        <f>IF($E480="","",IF($E480="LONG",K480-O480,K480+O480))</f>
        <v/>
      </c>
      <c r="N480" s="7" t="n"/>
      <c r="O480" s="8">
        <f>IF(OR($E480="",AP480=""),"",ROUNDUP(ROUND(MAX(IF($E480="LONG",K480-I480,H480-K480),Settings!$B$9*AP480),6),2))</f>
        <v/>
      </c>
      <c r="P480" s="8">
        <f>IF($E480="","",N480*Settings!$B$4)</f>
        <v/>
      </c>
      <c r="Q480" s="9">
        <f>IF(O480="","",MIN(INT(ROUND(P480/O480,6)),INT(ROUND(Settings!$B$5/K480,6))))</f>
        <v/>
      </c>
      <c r="R480" s="8">
        <f>IF(O480="","",Q480*O480)</f>
        <v/>
      </c>
      <c r="S480" s="8">
        <f>IF(O480="","",IF($E480="LONG",K480+Settings!$B$6*O480,K480-Settings!$B$6*O480))</f>
        <v/>
      </c>
      <c r="T480" s="7" t="n"/>
      <c r="V480" s="8">
        <f>IF(OR($E480="",T480=""),"",IF($E480="LONG",(T480-L480)*Q480,(L480-T480)*Q480))</f>
        <v/>
      </c>
      <c r="W480" s="10">
        <f>IF(V480="","",V480/N480)</f>
        <v/>
      </c>
      <c r="X480" s="11">
        <f>IF(V480="","",V480/R480)</f>
        <v/>
      </c>
      <c r="Y480" s="8">
        <f>IF(OR($E480="",L480=""),"",IF($E480="LONG",L480-K480,K480-L480))</f>
        <v/>
      </c>
      <c r="AP480" s="7" t="n"/>
    </row>
    <row r="481">
      <c r="H481" s="7" t="n"/>
      <c r="I481" s="7" t="n"/>
      <c r="J481" s="8">
        <f>IF($E481="","",MAX(Settings!$B$7,ROUND(Settings!$B$8*IF($E481="LONG",H481,I481),2)))</f>
        <v/>
      </c>
      <c r="K481" s="8">
        <f>IF($E481="","",IF($E481="LONG",H481+J481,I481-J481))</f>
        <v/>
      </c>
      <c r="L481" s="7" t="n"/>
      <c r="M481" s="8">
        <f>IF($E481="","",IF($E481="LONG",K481-O481,K481+O481))</f>
        <v/>
      </c>
      <c r="N481" s="7" t="n"/>
      <c r="O481" s="8">
        <f>IF(OR($E481="",AP481=""),"",ROUNDUP(ROUND(MAX(IF($E481="LONG",K481-I481,H481-K481),Settings!$B$9*AP481),6),2))</f>
        <v/>
      </c>
      <c r="P481" s="8">
        <f>IF($E481="","",N481*Settings!$B$4)</f>
        <v/>
      </c>
      <c r="Q481" s="9">
        <f>IF(O481="","",MIN(INT(ROUND(P481/O481,6)),INT(ROUND(Settings!$B$5/K481,6))))</f>
        <v/>
      </c>
      <c r="R481" s="8">
        <f>IF(O481="","",Q481*O481)</f>
        <v/>
      </c>
      <c r="S481" s="8">
        <f>IF(O481="","",IF($E481="LONG",K481+Settings!$B$6*O481,K481-Settings!$B$6*O481))</f>
        <v/>
      </c>
      <c r="T481" s="7" t="n"/>
      <c r="V481" s="8">
        <f>IF(OR($E481="",T481=""),"",IF($E481="LONG",(T481-L481)*Q481,(L481-T481)*Q481))</f>
        <v/>
      </c>
      <c r="W481" s="10">
        <f>IF(V481="","",V481/N481)</f>
        <v/>
      </c>
      <c r="X481" s="11">
        <f>IF(V481="","",V481/R481)</f>
        <v/>
      </c>
      <c r="Y481" s="8">
        <f>IF(OR($E481="",L481=""),"",IF($E481="LONG",L481-K481,K481-L481))</f>
        <v/>
      </c>
      <c r="AP481" s="7" t="n"/>
    </row>
    <row r="482">
      <c r="H482" s="7" t="n"/>
      <c r="I482" s="7" t="n"/>
      <c r="J482" s="8">
        <f>IF($E482="","",MAX(Settings!$B$7,ROUND(Settings!$B$8*IF($E482="LONG",H482,I482),2)))</f>
        <v/>
      </c>
      <c r="K482" s="8">
        <f>IF($E482="","",IF($E482="LONG",H482+J482,I482-J482))</f>
        <v/>
      </c>
      <c r="L482" s="7" t="n"/>
      <c r="M482" s="8">
        <f>IF($E482="","",IF($E482="LONG",K482-O482,K482+O482))</f>
        <v/>
      </c>
      <c r="N482" s="7" t="n"/>
      <c r="O482" s="8">
        <f>IF(OR($E482="",AP482=""),"",ROUNDUP(ROUND(MAX(IF($E482="LONG",K482-I482,H482-K482),Settings!$B$9*AP482),6),2))</f>
        <v/>
      </c>
      <c r="P482" s="8">
        <f>IF($E482="","",N482*Settings!$B$4)</f>
        <v/>
      </c>
      <c r="Q482" s="9">
        <f>IF(O482="","",MIN(INT(ROUND(P482/O482,6)),INT(ROUND(Settings!$B$5/K482,6))))</f>
        <v/>
      </c>
      <c r="R482" s="8">
        <f>IF(O482="","",Q482*O482)</f>
        <v/>
      </c>
      <c r="S482" s="8">
        <f>IF(O482="","",IF($E482="LONG",K482+Settings!$B$6*O482,K482-Settings!$B$6*O482))</f>
        <v/>
      </c>
      <c r="T482" s="7" t="n"/>
      <c r="V482" s="8">
        <f>IF(OR($E482="",T482=""),"",IF($E482="LONG",(T482-L482)*Q482,(L482-T482)*Q482))</f>
        <v/>
      </c>
      <c r="W482" s="10">
        <f>IF(V482="","",V482/N482)</f>
        <v/>
      </c>
      <c r="X482" s="11">
        <f>IF(V482="","",V482/R482)</f>
        <v/>
      </c>
      <c r="Y482" s="8">
        <f>IF(OR($E482="",L482=""),"",IF($E482="LONG",L482-K482,K482-L482))</f>
        <v/>
      </c>
      <c r="AP482" s="7" t="n"/>
    </row>
    <row r="483">
      <c r="H483" s="7" t="n"/>
      <c r="I483" s="7" t="n"/>
      <c r="J483" s="8">
        <f>IF($E483="","",MAX(Settings!$B$7,ROUND(Settings!$B$8*IF($E483="LONG",H483,I483),2)))</f>
        <v/>
      </c>
      <c r="K483" s="8">
        <f>IF($E483="","",IF($E483="LONG",H483+J483,I483-J483))</f>
        <v/>
      </c>
      <c r="L483" s="7" t="n"/>
      <c r="M483" s="8">
        <f>IF($E483="","",IF($E483="LONG",K483-O483,K483+O483))</f>
        <v/>
      </c>
      <c r="N483" s="7" t="n"/>
      <c r="O483" s="8">
        <f>IF(OR($E483="",AP483=""),"",ROUNDUP(ROUND(MAX(IF($E483="LONG",K483-I483,H483-K483),Settings!$B$9*AP483),6),2))</f>
        <v/>
      </c>
      <c r="P483" s="8">
        <f>IF($E483="","",N483*Settings!$B$4)</f>
        <v/>
      </c>
      <c r="Q483" s="9">
        <f>IF(O483="","",MIN(INT(ROUND(P483/O483,6)),INT(ROUND(Settings!$B$5/K483,6))))</f>
        <v/>
      </c>
      <c r="R483" s="8">
        <f>IF(O483="","",Q483*O483)</f>
        <v/>
      </c>
      <c r="S483" s="8">
        <f>IF(O483="","",IF($E483="LONG",K483+Settings!$B$6*O483,K483-Settings!$B$6*O483))</f>
        <v/>
      </c>
      <c r="T483" s="7" t="n"/>
      <c r="V483" s="8">
        <f>IF(OR($E483="",T483=""),"",IF($E483="LONG",(T483-L483)*Q483,(L483-T483)*Q483))</f>
        <v/>
      </c>
      <c r="W483" s="10">
        <f>IF(V483="","",V483/N483)</f>
        <v/>
      </c>
      <c r="X483" s="11">
        <f>IF(V483="","",V483/R483)</f>
        <v/>
      </c>
      <c r="Y483" s="8">
        <f>IF(OR($E483="",L483=""),"",IF($E483="LONG",L483-K483,K483-L483))</f>
        <v/>
      </c>
      <c r="AP483" s="7" t="n"/>
    </row>
    <row r="484">
      <c r="H484" s="7" t="n"/>
      <c r="I484" s="7" t="n"/>
      <c r="J484" s="8">
        <f>IF($E484="","",MAX(Settings!$B$7,ROUND(Settings!$B$8*IF($E484="LONG",H484,I484),2)))</f>
        <v/>
      </c>
      <c r="K484" s="8">
        <f>IF($E484="","",IF($E484="LONG",H484+J484,I484-J484))</f>
        <v/>
      </c>
      <c r="L484" s="7" t="n"/>
      <c r="M484" s="8">
        <f>IF($E484="","",IF($E484="LONG",K484-O484,K484+O484))</f>
        <v/>
      </c>
      <c r="N484" s="7" t="n"/>
      <c r="O484" s="8">
        <f>IF(OR($E484="",AP484=""),"",ROUNDUP(ROUND(MAX(IF($E484="LONG",K484-I484,H484-K484),Settings!$B$9*AP484),6),2))</f>
        <v/>
      </c>
      <c r="P484" s="8">
        <f>IF($E484="","",N484*Settings!$B$4)</f>
        <v/>
      </c>
      <c r="Q484" s="9">
        <f>IF(O484="","",MIN(INT(ROUND(P484/O484,6)),INT(ROUND(Settings!$B$5/K484,6))))</f>
        <v/>
      </c>
      <c r="R484" s="8">
        <f>IF(O484="","",Q484*O484)</f>
        <v/>
      </c>
      <c r="S484" s="8">
        <f>IF(O484="","",IF($E484="LONG",K484+Settings!$B$6*O484,K484-Settings!$B$6*O484))</f>
        <v/>
      </c>
      <c r="T484" s="7" t="n"/>
      <c r="V484" s="8">
        <f>IF(OR($E484="",T484=""),"",IF($E484="LONG",(T484-L484)*Q484,(L484-T484)*Q484))</f>
        <v/>
      </c>
      <c r="W484" s="10">
        <f>IF(V484="","",V484/N484)</f>
        <v/>
      </c>
      <c r="X484" s="11">
        <f>IF(V484="","",V484/R484)</f>
        <v/>
      </c>
      <c r="Y484" s="8">
        <f>IF(OR($E484="",L484=""),"",IF($E484="LONG",L484-K484,K484-L484))</f>
        <v/>
      </c>
      <c r="AP484" s="7" t="n"/>
    </row>
    <row r="485">
      <c r="H485" s="7" t="n"/>
      <c r="I485" s="7" t="n"/>
      <c r="J485" s="8">
        <f>IF($E485="","",MAX(Settings!$B$7,ROUND(Settings!$B$8*IF($E485="LONG",H485,I485),2)))</f>
        <v/>
      </c>
      <c r="K485" s="8">
        <f>IF($E485="","",IF($E485="LONG",H485+J485,I485-J485))</f>
        <v/>
      </c>
      <c r="L485" s="7" t="n"/>
      <c r="M485" s="8">
        <f>IF($E485="","",IF($E485="LONG",K485-O485,K485+O485))</f>
        <v/>
      </c>
      <c r="N485" s="7" t="n"/>
      <c r="O485" s="8">
        <f>IF(OR($E485="",AP485=""),"",ROUNDUP(ROUND(MAX(IF($E485="LONG",K485-I485,H485-K485),Settings!$B$9*AP485),6),2))</f>
        <v/>
      </c>
      <c r="P485" s="8">
        <f>IF($E485="","",N485*Settings!$B$4)</f>
        <v/>
      </c>
      <c r="Q485" s="9">
        <f>IF(O485="","",MIN(INT(ROUND(P485/O485,6)),INT(ROUND(Settings!$B$5/K485,6))))</f>
        <v/>
      </c>
      <c r="R485" s="8">
        <f>IF(O485="","",Q485*O485)</f>
        <v/>
      </c>
      <c r="S485" s="8">
        <f>IF(O485="","",IF($E485="LONG",K485+Settings!$B$6*O485,K485-Settings!$B$6*O485))</f>
        <v/>
      </c>
      <c r="T485" s="7" t="n"/>
      <c r="V485" s="8">
        <f>IF(OR($E485="",T485=""),"",IF($E485="LONG",(T485-L485)*Q485,(L485-T485)*Q485))</f>
        <v/>
      </c>
      <c r="W485" s="10">
        <f>IF(V485="","",V485/N485)</f>
        <v/>
      </c>
      <c r="X485" s="11">
        <f>IF(V485="","",V485/R485)</f>
        <v/>
      </c>
      <c r="Y485" s="8">
        <f>IF(OR($E485="",L485=""),"",IF($E485="LONG",L485-K485,K485-L485))</f>
        <v/>
      </c>
      <c r="AP485" s="7" t="n"/>
    </row>
    <row r="486">
      <c r="H486" s="7" t="n"/>
      <c r="I486" s="7" t="n"/>
      <c r="J486" s="8">
        <f>IF($E486="","",MAX(Settings!$B$7,ROUND(Settings!$B$8*IF($E486="LONG",H486,I486),2)))</f>
        <v/>
      </c>
      <c r="K486" s="8">
        <f>IF($E486="","",IF($E486="LONG",H486+J486,I486-J486))</f>
        <v/>
      </c>
      <c r="L486" s="7" t="n"/>
      <c r="M486" s="8">
        <f>IF($E486="","",IF($E486="LONG",K486-O486,K486+O486))</f>
        <v/>
      </c>
      <c r="N486" s="7" t="n"/>
      <c r="O486" s="8">
        <f>IF(OR($E486="",AP486=""),"",ROUNDUP(ROUND(MAX(IF($E486="LONG",K486-I486,H486-K486),Settings!$B$9*AP486),6),2))</f>
        <v/>
      </c>
      <c r="P486" s="8">
        <f>IF($E486="","",N486*Settings!$B$4)</f>
        <v/>
      </c>
      <c r="Q486" s="9">
        <f>IF(O486="","",MIN(INT(ROUND(P486/O486,6)),INT(ROUND(Settings!$B$5/K486,6))))</f>
        <v/>
      </c>
      <c r="R486" s="8">
        <f>IF(O486="","",Q486*O486)</f>
        <v/>
      </c>
      <c r="S486" s="8">
        <f>IF(O486="","",IF($E486="LONG",K486+Settings!$B$6*O486,K486-Settings!$B$6*O486))</f>
        <v/>
      </c>
      <c r="T486" s="7" t="n"/>
      <c r="V486" s="8">
        <f>IF(OR($E486="",T486=""),"",IF($E486="LONG",(T486-L486)*Q486,(L486-T486)*Q486))</f>
        <v/>
      </c>
      <c r="W486" s="10">
        <f>IF(V486="","",V486/N486)</f>
        <v/>
      </c>
      <c r="X486" s="11">
        <f>IF(V486="","",V486/R486)</f>
        <v/>
      </c>
      <c r="Y486" s="8">
        <f>IF(OR($E486="",L486=""),"",IF($E486="LONG",L486-K486,K486-L486))</f>
        <v/>
      </c>
      <c r="AP486" s="7" t="n"/>
    </row>
    <row r="487">
      <c r="H487" s="7" t="n"/>
      <c r="I487" s="7" t="n"/>
      <c r="J487" s="8">
        <f>IF($E487="","",MAX(Settings!$B$7,ROUND(Settings!$B$8*IF($E487="LONG",H487,I487),2)))</f>
        <v/>
      </c>
      <c r="K487" s="8">
        <f>IF($E487="","",IF($E487="LONG",H487+J487,I487-J487))</f>
        <v/>
      </c>
      <c r="L487" s="7" t="n"/>
      <c r="M487" s="8">
        <f>IF($E487="","",IF($E487="LONG",K487-O487,K487+O487))</f>
        <v/>
      </c>
      <c r="N487" s="7" t="n"/>
      <c r="O487" s="8">
        <f>IF(OR($E487="",AP487=""),"",ROUNDUP(ROUND(MAX(IF($E487="LONG",K487-I487,H487-K487),Settings!$B$9*AP487),6),2))</f>
        <v/>
      </c>
      <c r="P487" s="8">
        <f>IF($E487="","",N487*Settings!$B$4)</f>
        <v/>
      </c>
      <c r="Q487" s="9">
        <f>IF(O487="","",MIN(INT(ROUND(P487/O487,6)),INT(ROUND(Settings!$B$5/K487,6))))</f>
        <v/>
      </c>
      <c r="R487" s="8">
        <f>IF(O487="","",Q487*O487)</f>
        <v/>
      </c>
      <c r="S487" s="8">
        <f>IF(O487="","",IF($E487="LONG",K487+Settings!$B$6*O487,K487-Settings!$B$6*O487))</f>
        <v/>
      </c>
      <c r="T487" s="7" t="n"/>
      <c r="V487" s="8">
        <f>IF(OR($E487="",T487=""),"",IF($E487="LONG",(T487-L487)*Q487,(L487-T487)*Q487))</f>
        <v/>
      </c>
      <c r="W487" s="10">
        <f>IF(V487="","",V487/N487)</f>
        <v/>
      </c>
      <c r="X487" s="11">
        <f>IF(V487="","",V487/R487)</f>
        <v/>
      </c>
      <c r="Y487" s="8">
        <f>IF(OR($E487="",L487=""),"",IF($E487="LONG",L487-K487,K487-L487))</f>
        <v/>
      </c>
      <c r="AP487" s="7" t="n"/>
    </row>
    <row r="488">
      <c r="H488" s="7" t="n"/>
      <c r="I488" s="7" t="n"/>
      <c r="J488" s="8">
        <f>IF($E488="","",MAX(Settings!$B$7,ROUND(Settings!$B$8*IF($E488="LONG",H488,I488),2)))</f>
        <v/>
      </c>
      <c r="K488" s="8">
        <f>IF($E488="","",IF($E488="LONG",H488+J488,I488-J488))</f>
        <v/>
      </c>
      <c r="L488" s="7" t="n"/>
      <c r="M488" s="8">
        <f>IF($E488="","",IF($E488="LONG",K488-O488,K488+O488))</f>
        <v/>
      </c>
      <c r="N488" s="7" t="n"/>
      <c r="O488" s="8">
        <f>IF(OR($E488="",AP488=""),"",ROUNDUP(ROUND(MAX(IF($E488="LONG",K488-I488,H488-K488),Settings!$B$9*AP488),6),2))</f>
        <v/>
      </c>
      <c r="P488" s="8">
        <f>IF($E488="","",N488*Settings!$B$4)</f>
        <v/>
      </c>
      <c r="Q488" s="9">
        <f>IF(O488="","",MIN(INT(ROUND(P488/O488,6)),INT(ROUND(Settings!$B$5/K488,6))))</f>
        <v/>
      </c>
      <c r="R488" s="8">
        <f>IF(O488="","",Q488*O488)</f>
        <v/>
      </c>
      <c r="S488" s="8">
        <f>IF(O488="","",IF($E488="LONG",K488+Settings!$B$6*O488,K488-Settings!$B$6*O488))</f>
        <v/>
      </c>
      <c r="T488" s="7" t="n"/>
      <c r="V488" s="8">
        <f>IF(OR($E488="",T488=""),"",IF($E488="LONG",(T488-L488)*Q488,(L488-T488)*Q488))</f>
        <v/>
      </c>
      <c r="W488" s="10">
        <f>IF(V488="","",V488/N488)</f>
        <v/>
      </c>
      <c r="X488" s="11">
        <f>IF(V488="","",V488/R488)</f>
        <v/>
      </c>
      <c r="Y488" s="8">
        <f>IF(OR($E488="",L488=""),"",IF($E488="LONG",L488-K488,K488-L488))</f>
        <v/>
      </c>
      <c r="AP488" s="7" t="n"/>
    </row>
    <row r="489">
      <c r="H489" s="7" t="n"/>
      <c r="I489" s="7" t="n"/>
      <c r="J489" s="8">
        <f>IF($E489="","",MAX(Settings!$B$7,ROUND(Settings!$B$8*IF($E489="LONG",H489,I489),2)))</f>
        <v/>
      </c>
      <c r="K489" s="8">
        <f>IF($E489="","",IF($E489="LONG",H489+J489,I489-J489))</f>
        <v/>
      </c>
      <c r="L489" s="7" t="n"/>
      <c r="M489" s="8">
        <f>IF($E489="","",IF($E489="LONG",K489-O489,K489+O489))</f>
        <v/>
      </c>
      <c r="N489" s="7" t="n"/>
      <c r="O489" s="8">
        <f>IF(OR($E489="",AP489=""),"",ROUNDUP(ROUND(MAX(IF($E489="LONG",K489-I489,H489-K489),Settings!$B$9*AP489),6),2))</f>
        <v/>
      </c>
      <c r="P489" s="8">
        <f>IF($E489="","",N489*Settings!$B$4)</f>
        <v/>
      </c>
      <c r="Q489" s="9">
        <f>IF(O489="","",MIN(INT(ROUND(P489/O489,6)),INT(ROUND(Settings!$B$5/K489,6))))</f>
        <v/>
      </c>
      <c r="R489" s="8">
        <f>IF(O489="","",Q489*O489)</f>
        <v/>
      </c>
      <c r="S489" s="8">
        <f>IF(O489="","",IF($E489="LONG",K489+Settings!$B$6*O489,K489-Settings!$B$6*O489))</f>
        <v/>
      </c>
      <c r="T489" s="7" t="n"/>
      <c r="V489" s="8">
        <f>IF(OR($E489="",T489=""),"",IF($E489="LONG",(T489-L489)*Q489,(L489-T489)*Q489))</f>
        <v/>
      </c>
      <c r="W489" s="10">
        <f>IF(V489="","",V489/N489)</f>
        <v/>
      </c>
      <c r="X489" s="11">
        <f>IF(V489="","",V489/R489)</f>
        <v/>
      </c>
      <c r="Y489" s="8">
        <f>IF(OR($E489="",L489=""),"",IF($E489="LONG",L489-K489,K489-L489))</f>
        <v/>
      </c>
      <c r="AP489" s="7" t="n"/>
    </row>
    <row r="490">
      <c r="H490" s="7" t="n"/>
      <c r="I490" s="7" t="n"/>
      <c r="J490" s="8">
        <f>IF($E490="","",MAX(Settings!$B$7,ROUND(Settings!$B$8*IF($E490="LONG",H490,I490),2)))</f>
        <v/>
      </c>
      <c r="K490" s="8">
        <f>IF($E490="","",IF($E490="LONG",H490+J490,I490-J490))</f>
        <v/>
      </c>
      <c r="L490" s="7" t="n"/>
      <c r="M490" s="8">
        <f>IF($E490="","",IF($E490="LONG",K490-O490,K490+O490))</f>
        <v/>
      </c>
      <c r="N490" s="7" t="n"/>
      <c r="O490" s="8">
        <f>IF(OR($E490="",AP490=""),"",ROUNDUP(ROUND(MAX(IF($E490="LONG",K490-I490,H490-K490),Settings!$B$9*AP490),6),2))</f>
        <v/>
      </c>
      <c r="P490" s="8">
        <f>IF($E490="","",N490*Settings!$B$4)</f>
        <v/>
      </c>
      <c r="Q490" s="9">
        <f>IF(O490="","",MIN(INT(ROUND(P490/O490,6)),INT(ROUND(Settings!$B$5/K490,6))))</f>
        <v/>
      </c>
      <c r="R490" s="8">
        <f>IF(O490="","",Q490*O490)</f>
        <v/>
      </c>
      <c r="S490" s="8">
        <f>IF(O490="","",IF($E490="LONG",K490+Settings!$B$6*O490,K490-Settings!$B$6*O490))</f>
        <v/>
      </c>
      <c r="T490" s="7" t="n"/>
      <c r="V490" s="8">
        <f>IF(OR($E490="",T490=""),"",IF($E490="LONG",(T490-L490)*Q490,(L490-T490)*Q490))</f>
        <v/>
      </c>
      <c r="W490" s="10">
        <f>IF(V490="","",V490/N490)</f>
        <v/>
      </c>
      <c r="X490" s="11">
        <f>IF(V490="","",V490/R490)</f>
        <v/>
      </c>
      <c r="Y490" s="8">
        <f>IF(OR($E490="",L490=""),"",IF($E490="LONG",L490-K490,K490-L490))</f>
        <v/>
      </c>
      <c r="AP490" s="7" t="n"/>
    </row>
    <row r="491">
      <c r="H491" s="7" t="n"/>
      <c r="I491" s="7" t="n"/>
      <c r="J491" s="8">
        <f>IF($E491="","",MAX(Settings!$B$7,ROUND(Settings!$B$8*IF($E491="LONG",H491,I491),2)))</f>
        <v/>
      </c>
      <c r="K491" s="8">
        <f>IF($E491="","",IF($E491="LONG",H491+J491,I491-J491))</f>
        <v/>
      </c>
      <c r="L491" s="7" t="n"/>
      <c r="M491" s="8">
        <f>IF($E491="","",IF($E491="LONG",K491-O491,K491+O491))</f>
        <v/>
      </c>
      <c r="N491" s="7" t="n"/>
      <c r="O491" s="8">
        <f>IF(OR($E491="",AP491=""),"",ROUNDUP(ROUND(MAX(IF($E491="LONG",K491-I491,H491-K491),Settings!$B$9*AP491),6),2))</f>
        <v/>
      </c>
      <c r="P491" s="8">
        <f>IF($E491="","",N491*Settings!$B$4)</f>
        <v/>
      </c>
      <c r="Q491" s="9">
        <f>IF(O491="","",MIN(INT(ROUND(P491/O491,6)),INT(ROUND(Settings!$B$5/K491,6))))</f>
        <v/>
      </c>
      <c r="R491" s="8">
        <f>IF(O491="","",Q491*O491)</f>
        <v/>
      </c>
      <c r="S491" s="8">
        <f>IF(O491="","",IF($E491="LONG",K491+Settings!$B$6*O491,K491-Settings!$B$6*O491))</f>
        <v/>
      </c>
      <c r="T491" s="7" t="n"/>
      <c r="V491" s="8">
        <f>IF(OR($E491="",T491=""),"",IF($E491="LONG",(T491-L491)*Q491,(L491-T491)*Q491))</f>
        <v/>
      </c>
      <c r="W491" s="10">
        <f>IF(V491="","",V491/N491)</f>
        <v/>
      </c>
      <c r="X491" s="11">
        <f>IF(V491="","",V491/R491)</f>
        <v/>
      </c>
      <c r="Y491" s="8">
        <f>IF(OR($E491="",L491=""),"",IF($E491="LONG",L491-K491,K491-L491))</f>
        <v/>
      </c>
      <c r="AP491" s="7" t="n"/>
    </row>
    <row r="492">
      <c r="H492" s="7" t="n"/>
      <c r="I492" s="7" t="n"/>
      <c r="J492" s="8">
        <f>IF($E492="","",MAX(Settings!$B$7,ROUND(Settings!$B$8*IF($E492="LONG",H492,I492),2)))</f>
        <v/>
      </c>
      <c r="K492" s="8">
        <f>IF($E492="","",IF($E492="LONG",H492+J492,I492-J492))</f>
        <v/>
      </c>
      <c r="L492" s="7" t="n"/>
      <c r="M492" s="8">
        <f>IF($E492="","",IF($E492="LONG",K492-O492,K492+O492))</f>
        <v/>
      </c>
      <c r="N492" s="7" t="n"/>
      <c r="O492" s="8">
        <f>IF(OR($E492="",AP492=""),"",ROUNDUP(ROUND(MAX(IF($E492="LONG",K492-I492,H492-K492),Settings!$B$9*AP492),6),2))</f>
        <v/>
      </c>
      <c r="P492" s="8">
        <f>IF($E492="","",N492*Settings!$B$4)</f>
        <v/>
      </c>
      <c r="Q492" s="9">
        <f>IF(O492="","",MIN(INT(ROUND(P492/O492,6)),INT(ROUND(Settings!$B$5/K492,6))))</f>
        <v/>
      </c>
      <c r="R492" s="8">
        <f>IF(O492="","",Q492*O492)</f>
        <v/>
      </c>
      <c r="S492" s="8">
        <f>IF(O492="","",IF($E492="LONG",K492+Settings!$B$6*O492,K492-Settings!$B$6*O492))</f>
        <v/>
      </c>
      <c r="T492" s="7" t="n"/>
      <c r="V492" s="8">
        <f>IF(OR($E492="",T492=""),"",IF($E492="LONG",(T492-L492)*Q492,(L492-T492)*Q492))</f>
        <v/>
      </c>
      <c r="W492" s="10">
        <f>IF(V492="","",V492/N492)</f>
        <v/>
      </c>
      <c r="X492" s="11">
        <f>IF(V492="","",V492/R492)</f>
        <v/>
      </c>
      <c r="Y492" s="8">
        <f>IF(OR($E492="",L492=""),"",IF($E492="LONG",L492-K492,K492-L492))</f>
        <v/>
      </c>
      <c r="AP492" s="7" t="n"/>
    </row>
    <row r="493">
      <c r="H493" s="7" t="n"/>
      <c r="I493" s="7" t="n"/>
      <c r="J493" s="8">
        <f>IF($E493="","",MAX(Settings!$B$7,ROUND(Settings!$B$8*IF($E493="LONG",H493,I493),2)))</f>
        <v/>
      </c>
      <c r="K493" s="8">
        <f>IF($E493="","",IF($E493="LONG",H493+J493,I493-J493))</f>
        <v/>
      </c>
      <c r="L493" s="7" t="n"/>
      <c r="M493" s="8">
        <f>IF($E493="","",IF($E493="LONG",K493-O493,K493+O493))</f>
        <v/>
      </c>
      <c r="N493" s="7" t="n"/>
      <c r="O493" s="8">
        <f>IF(OR($E493="",AP493=""),"",ROUNDUP(ROUND(MAX(IF($E493="LONG",K493-I493,H493-K493),Settings!$B$9*AP493),6),2))</f>
        <v/>
      </c>
      <c r="P493" s="8">
        <f>IF($E493="","",N493*Settings!$B$4)</f>
        <v/>
      </c>
      <c r="Q493" s="9">
        <f>IF(O493="","",MIN(INT(ROUND(P493/O493,6)),INT(ROUND(Settings!$B$5/K493,6))))</f>
        <v/>
      </c>
      <c r="R493" s="8">
        <f>IF(O493="","",Q493*O493)</f>
        <v/>
      </c>
      <c r="S493" s="8">
        <f>IF(O493="","",IF($E493="LONG",K493+Settings!$B$6*O493,K493-Settings!$B$6*O493))</f>
        <v/>
      </c>
      <c r="T493" s="7" t="n"/>
      <c r="V493" s="8">
        <f>IF(OR($E493="",T493=""),"",IF($E493="LONG",(T493-L493)*Q493,(L493-T493)*Q493))</f>
        <v/>
      </c>
      <c r="W493" s="10">
        <f>IF(V493="","",V493/N493)</f>
        <v/>
      </c>
      <c r="X493" s="11">
        <f>IF(V493="","",V493/R493)</f>
        <v/>
      </c>
      <c r="Y493" s="8">
        <f>IF(OR($E493="",L493=""),"",IF($E493="LONG",L493-K493,K493-L493))</f>
        <v/>
      </c>
      <c r="AP493" s="7" t="n"/>
    </row>
    <row r="494">
      <c r="H494" s="7" t="n"/>
      <c r="I494" s="7" t="n"/>
      <c r="J494" s="8">
        <f>IF($E494="","",MAX(Settings!$B$7,ROUND(Settings!$B$8*IF($E494="LONG",H494,I494),2)))</f>
        <v/>
      </c>
      <c r="K494" s="8">
        <f>IF($E494="","",IF($E494="LONG",H494+J494,I494-J494))</f>
        <v/>
      </c>
      <c r="L494" s="7" t="n"/>
      <c r="M494" s="8">
        <f>IF($E494="","",IF($E494="LONG",K494-O494,K494+O494))</f>
        <v/>
      </c>
      <c r="N494" s="7" t="n"/>
      <c r="O494" s="8">
        <f>IF(OR($E494="",AP494=""),"",ROUNDUP(ROUND(MAX(IF($E494="LONG",K494-I494,H494-K494),Settings!$B$9*AP494),6),2))</f>
        <v/>
      </c>
      <c r="P494" s="8">
        <f>IF($E494="","",N494*Settings!$B$4)</f>
        <v/>
      </c>
      <c r="Q494" s="9">
        <f>IF(O494="","",MIN(INT(ROUND(P494/O494,6)),INT(ROUND(Settings!$B$5/K494,6))))</f>
        <v/>
      </c>
      <c r="R494" s="8">
        <f>IF(O494="","",Q494*O494)</f>
        <v/>
      </c>
      <c r="S494" s="8">
        <f>IF(O494="","",IF($E494="LONG",K494+Settings!$B$6*O494,K494-Settings!$B$6*O494))</f>
        <v/>
      </c>
      <c r="T494" s="7" t="n"/>
      <c r="V494" s="8">
        <f>IF(OR($E494="",T494=""),"",IF($E494="LONG",(T494-L494)*Q494,(L494-T494)*Q494))</f>
        <v/>
      </c>
      <c r="W494" s="10">
        <f>IF(V494="","",V494/N494)</f>
        <v/>
      </c>
      <c r="X494" s="11">
        <f>IF(V494="","",V494/R494)</f>
        <v/>
      </c>
      <c r="Y494" s="8">
        <f>IF(OR($E494="",L494=""),"",IF($E494="LONG",L494-K494,K494-L494))</f>
        <v/>
      </c>
      <c r="AP494" s="7" t="n"/>
    </row>
    <row r="495">
      <c r="H495" s="7" t="n"/>
      <c r="I495" s="7" t="n"/>
      <c r="J495" s="8">
        <f>IF($E495="","",MAX(Settings!$B$7,ROUND(Settings!$B$8*IF($E495="LONG",H495,I495),2)))</f>
        <v/>
      </c>
      <c r="K495" s="8">
        <f>IF($E495="","",IF($E495="LONG",H495+J495,I495-J495))</f>
        <v/>
      </c>
      <c r="L495" s="7" t="n"/>
      <c r="M495" s="8">
        <f>IF($E495="","",IF($E495="LONG",K495-O495,K495+O495))</f>
        <v/>
      </c>
      <c r="N495" s="7" t="n"/>
      <c r="O495" s="8">
        <f>IF(OR($E495="",AP495=""),"",ROUNDUP(ROUND(MAX(IF($E495="LONG",K495-I495,H495-K495),Settings!$B$9*AP495),6),2))</f>
        <v/>
      </c>
      <c r="P495" s="8">
        <f>IF($E495="","",N495*Settings!$B$4)</f>
        <v/>
      </c>
      <c r="Q495" s="9">
        <f>IF(O495="","",MIN(INT(ROUND(P495/O495,6)),INT(ROUND(Settings!$B$5/K495,6))))</f>
        <v/>
      </c>
      <c r="R495" s="8">
        <f>IF(O495="","",Q495*O495)</f>
        <v/>
      </c>
      <c r="S495" s="8">
        <f>IF(O495="","",IF($E495="LONG",K495+Settings!$B$6*O495,K495-Settings!$B$6*O495))</f>
        <v/>
      </c>
      <c r="T495" s="7" t="n"/>
      <c r="V495" s="8">
        <f>IF(OR($E495="",T495=""),"",IF($E495="LONG",(T495-L495)*Q495,(L495-T495)*Q495))</f>
        <v/>
      </c>
      <c r="W495" s="10">
        <f>IF(V495="","",V495/N495)</f>
        <v/>
      </c>
      <c r="X495" s="11">
        <f>IF(V495="","",V495/R495)</f>
        <v/>
      </c>
      <c r="Y495" s="8">
        <f>IF(OR($E495="",L495=""),"",IF($E495="LONG",L495-K495,K495-L495))</f>
        <v/>
      </c>
      <c r="AP495" s="7" t="n"/>
    </row>
    <row r="496">
      <c r="H496" s="7" t="n"/>
      <c r="I496" s="7" t="n"/>
      <c r="J496" s="8">
        <f>IF($E496="","",MAX(Settings!$B$7,ROUND(Settings!$B$8*IF($E496="LONG",H496,I496),2)))</f>
        <v/>
      </c>
      <c r="K496" s="8">
        <f>IF($E496="","",IF($E496="LONG",H496+J496,I496-J496))</f>
        <v/>
      </c>
      <c r="L496" s="7" t="n"/>
      <c r="M496" s="8">
        <f>IF($E496="","",IF($E496="LONG",K496-O496,K496+O496))</f>
        <v/>
      </c>
      <c r="N496" s="7" t="n"/>
      <c r="O496" s="8">
        <f>IF(OR($E496="",AP496=""),"",ROUNDUP(ROUND(MAX(IF($E496="LONG",K496-I496,H496-K496),Settings!$B$9*AP496),6),2))</f>
        <v/>
      </c>
      <c r="P496" s="8">
        <f>IF($E496="","",N496*Settings!$B$4)</f>
        <v/>
      </c>
      <c r="Q496" s="9">
        <f>IF(O496="","",MIN(INT(ROUND(P496/O496,6)),INT(ROUND(Settings!$B$5/K496,6))))</f>
        <v/>
      </c>
      <c r="R496" s="8">
        <f>IF(O496="","",Q496*O496)</f>
        <v/>
      </c>
      <c r="S496" s="8">
        <f>IF(O496="","",IF($E496="LONG",K496+Settings!$B$6*O496,K496-Settings!$B$6*O496))</f>
        <v/>
      </c>
      <c r="T496" s="7" t="n"/>
      <c r="V496" s="8">
        <f>IF(OR($E496="",T496=""),"",IF($E496="LONG",(T496-L496)*Q496,(L496-T496)*Q496))</f>
        <v/>
      </c>
      <c r="W496" s="10">
        <f>IF(V496="","",V496/N496)</f>
        <v/>
      </c>
      <c r="X496" s="11">
        <f>IF(V496="","",V496/R496)</f>
        <v/>
      </c>
      <c r="Y496" s="8">
        <f>IF(OR($E496="",L496=""),"",IF($E496="LONG",L496-K496,K496-L496))</f>
        <v/>
      </c>
      <c r="AP496" s="7" t="n"/>
    </row>
    <row r="497">
      <c r="H497" s="7" t="n"/>
      <c r="I497" s="7" t="n"/>
      <c r="J497" s="8">
        <f>IF($E497="","",MAX(Settings!$B$7,ROUND(Settings!$B$8*IF($E497="LONG",H497,I497),2)))</f>
        <v/>
      </c>
      <c r="K497" s="8">
        <f>IF($E497="","",IF($E497="LONG",H497+J497,I497-J497))</f>
        <v/>
      </c>
      <c r="L497" s="7" t="n"/>
      <c r="M497" s="8">
        <f>IF($E497="","",IF($E497="LONG",K497-O497,K497+O497))</f>
        <v/>
      </c>
      <c r="N497" s="7" t="n"/>
      <c r="O497" s="8">
        <f>IF(OR($E497="",AP497=""),"",ROUNDUP(ROUND(MAX(IF($E497="LONG",K497-I497,H497-K497),Settings!$B$9*AP497),6),2))</f>
        <v/>
      </c>
      <c r="P497" s="8">
        <f>IF($E497="","",N497*Settings!$B$4)</f>
        <v/>
      </c>
      <c r="Q497" s="9">
        <f>IF(O497="","",MIN(INT(ROUND(P497/O497,6)),INT(ROUND(Settings!$B$5/K497,6))))</f>
        <v/>
      </c>
      <c r="R497" s="8">
        <f>IF(O497="","",Q497*O497)</f>
        <v/>
      </c>
      <c r="S497" s="8">
        <f>IF(O497="","",IF($E497="LONG",K497+Settings!$B$6*O497,K497-Settings!$B$6*O497))</f>
        <v/>
      </c>
      <c r="T497" s="7" t="n"/>
      <c r="V497" s="8">
        <f>IF(OR($E497="",T497=""),"",IF($E497="LONG",(T497-L497)*Q497,(L497-T497)*Q497))</f>
        <v/>
      </c>
      <c r="W497" s="10">
        <f>IF(V497="","",V497/N497)</f>
        <v/>
      </c>
      <c r="X497" s="11">
        <f>IF(V497="","",V497/R497)</f>
        <v/>
      </c>
      <c r="Y497" s="8">
        <f>IF(OR($E497="",L497=""),"",IF($E497="LONG",L497-K497,K497-L497))</f>
        <v/>
      </c>
      <c r="AP497" s="7" t="n"/>
    </row>
    <row r="498">
      <c r="H498" s="7" t="n"/>
      <c r="I498" s="7" t="n"/>
      <c r="J498" s="8">
        <f>IF($E498="","",MAX(Settings!$B$7,ROUND(Settings!$B$8*IF($E498="LONG",H498,I498),2)))</f>
        <v/>
      </c>
      <c r="K498" s="8">
        <f>IF($E498="","",IF($E498="LONG",H498+J498,I498-J498))</f>
        <v/>
      </c>
      <c r="L498" s="7" t="n"/>
      <c r="M498" s="8">
        <f>IF($E498="","",IF($E498="LONG",K498-O498,K498+O498))</f>
        <v/>
      </c>
      <c r="N498" s="7" t="n"/>
      <c r="O498" s="8">
        <f>IF(OR($E498="",AP498=""),"",ROUNDUP(ROUND(MAX(IF($E498="LONG",K498-I498,H498-K498),Settings!$B$9*AP498),6),2))</f>
        <v/>
      </c>
      <c r="P498" s="8">
        <f>IF($E498="","",N498*Settings!$B$4)</f>
        <v/>
      </c>
      <c r="Q498" s="9">
        <f>IF(O498="","",MIN(INT(ROUND(P498/O498,6)),INT(ROUND(Settings!$B$5/K498,6))))</f>
        <v/>
      </c>
      <c r="R498" s="8">
        <f>IF(O498="","",Q498*O498)</f>
        <v/>
      </c>
      <c r="S498" s="8">
        <f>IF(O498="","",IF($E498="LONG",K498+Settings!$B$6*O498,K498-Settings!$B$6*O498))</f>
        <v/>
      </c>
      <c r="T498" s="7" t="n"/>
      <c r="V498" s="8">
        <f>IF(OR($E498="",T498=""),"",IF($E498="LONG",(T498-L498)*Q498,(L498-T498)*Q498))</f>
        <v/>
      </c>
      <c r="W498" s="10">
        <f>IF(V498="","",V498/N498)</f>
        <v/>
      </c>
      <c r="X498" s="11">
        <f>IF(V498="","",V498/R498)</f>
        <v/>
      </c>
      <c r="Y498" s="8">
        <f>IF(OR($E498="",L498=""),"",IF($E498="LONG",L498-K498,K498-L498))</f>
        <v/>
      </c>
      <c r="AP498" s="7" t="n"/>
    </row>
    <row r="499">
      <c r="H499" s="7" t="n"/>
      <c r="I499" s="7" t="n"/>
      <c r="J499" s="8">
        <f>IF($E499="","",MAX(Settings!$B$7,ROUND(Settings!$B$8*IF($E499="LONG",H499,I499),2)))</f>
        <v/>
      </c>
      <c r="K499" s="8">
        <f>IF($E499="","",IF($E499="LONG",H499+J499,I499-J499))</f>
        <v/>
      </c>
      <c r="L499" s="7" t="n"/>
      <c r="M499" s="8">
        <f>IF($E499="","",IF($E499="LONG",K499-O499,K499+O499))</f>
        <v/>
      </c>
      <c r="N499" s="7" t="n"/>
      <c r="O499" s="8">
        <f>IF(OR($E499="",AP499=""),"",ROUNDUP(ROUND(MAX(IF($E499="LONG",K499-I499,H499-K499),Settings!$B$9*AP499),6),2))</f>
        <v/>
      </c>
      <c r="P499" s="8">
        <f>IF($E499="","",N499*Settings!$B$4)</f>
        <v/>
      </c>
      <c r="Q499" s="9">
        <f>IF(O499="","",MIN(INT(ROUND(P499/O499,6)),INT(ROUND(Settings!$B$5/K499,6))))</f>
        <v/>
      </c>
      <c r="R499" s="8">
        <f>IF(O499="","",Q499*O499)</f>
        <v/>
      </c>
      <c r="S499" s="8">
        <f>IF(O499="","",IF($E499="LONG",K499+Settings!$B$6*O499,K499-Settings!$B$6*O499))</f>
        <v/>
      </c>
      <c r="T499" s="7" t="n"/>
      <c r="V499" s="8">
        <f>IF(OR($E499="",T499=""),"",IF($E499="LONG",(T499-L499)*Q499,(L499-T499)*Q499))</f>
        <v/>
      </c>
      <c r="W499" s="10">
        <f>IF(V499="","",V499/N499)</f>
        <v/>
      </c>
      <c r="X499" s="11">
        <f>IF(V499="","",V499/R499)</f>
        <v/>
      </c>
      <c r="Y499" s="8">
        <f>IF(OR($E499="",L499=""),"",IF($E499="LONG",L499-K499,K499-L499))</f>
        <v/>
      </c>
      <c r="AP499" s="7" t="n"/>
    </row>
    <row r="500">
      <c r="H500" s="7" t="n"/>
      <c r="I500" s="7" t="n"/>
      <c r="J500" s="8">
        <f>IF($E500="","",MAX(Settings!$B$7,ROUND(Settings!$B$8*IF($E500="LONG",H500,I500),2)))</f>
        <v/>
      </c>
      <c r="K500" s="8">
        <f>IF($E500="","",IF($E500="LONG",H500+J500,I500-J500))</f>
        <v/>
      </c>
      <c r="L500" s="7" t="n"/>
      <c r="M500" s="8">
        <f>IF($E500="","",IF($E500="LONG",K500-O500,K500+O500))</f>
        <v/>
      </c>
      <c r="N500" s="7" t="n"/>
      <c r="O500" s="8">
        <f>IF(OR($E500="",AP500=""),"",ROUNDUP(ROUND(MAX(IF($E500="LONG",K500-I500,H500-K500),Settings!$B$9*AP500),6),2))</f>
        <v/>
      </c>
      <c r="P500" s="8">
        <f>IF($E500="","",N500*Settings!$B$4)</f>
        <v/>
      </c>
      <c r="Q500" s="9">
        <f>IF(O500="","",MIN(INT(ROUND(P500/O500,6)),INT(ROUND(Settings!$B$5/K500,6))))</f>
        <v/>
      </c>
      <c r="R500" s="8">
        <f>IF(O500="","",Q500*O500)</f>
        <v/>
      </c>
      <c r="S500" s="8">
        <f>IF(O500="","",IF($E500="LONG",K500+Settings!$B$6*O500,K500-Settings!$B$6*O500))</f>
        <v/>
      </c>
      <c r="T500" s="7" t="n"/>
      <c r="V500" s="8">
        <f>IF(OR($E500="",T500=""),"",IF($E500="LONG",(T500-L500)*Q500,(L500-T500)*Q500))</f>
        <v/>
      </c>
      <c r="W500" s="10">
        <f>IF(V500="","",V500/N500)</f>
        <v/>
      </c>
      <c r="X500" s="11">
        <f>IF(V500="","",V500/R500)</f>
        <v/>
      </c>
      <c r="Y500" s="8">
        <f>IF(OR($E500="",L500=""),"",IF($E500="LONG",L500-K500,K500-L500))</f>
        <v/>
      </c>
      <c r="AP500" s="7" t="n"/>
    </row>
    <row r="501">
      <c r="H501" s="7" t="n"/>
      <c r="I501" s="7" t="n"/>
      <c r="J501" s="8">
        <f>IF($E501="","",MAX(Settings!$B$7,ROUND(Settings!$B$8*IF($E501="LONG",H501,I501),2)))</f>
        <v/>
      </c>
      <c r="K501" s="8">
        <f>IF($E501="","",IF($E501="LONG",H501+J501,I501-J501))</f>
        <v/>
      </c>
      <c r="L501" s="7" t="n"/>
      <c r="M501" s="8">
        <f>IF($E501="","",IF($E501="LONG",K501-O501,K501+O501))</f>
        <v/>
      </c>
      <c r="N501" s="7" t="n"/>
      <c r="O501" s="8">
        <f>IF(OR($E501="",AP501=""),"",ROUNDUP(ROUND(MAX(IF($E501="LONG",K501-I501,H501-K501),Settings!$B$9*AP501),6),2))</f>
        <v/>
      </c>
      <c r="P501" s="8">
        <f>IF($E501="","",N501*Settings!$B$4)</f>
        <v/>
      </c>
      <c r="Q501" s="9">
        <f>IF(O501="","",MIN(INT(ROUND(P501/O501,6)),INT(ROUND(Settings!$B$5/K501,6))))</f>
        <v/>
      </c>
      <c r="R501" s="8">
        <f>IF(O501="","",Q501*O501)</f>
        <v/>
      </c>
      <c r="S501" s="8">
        <f>IF(O501="","",IF($E501="LONG",K501+Settings!$B$6*O501,K501-Settings!$B$6*O501))</f>
        <v/>
      </c>
      <c r="T501" s="7" t="n"/>
      <c r="V501" s="8">
        <f>IF(OR($E501="",T501=""),"",IF($E501="LONG",(T501-L501)*Q501,(L501-T501)*Q501))</f>
        <v/>
      </c>
      <c r="W501" s="10">
        <f>IF(V501="","",V501/N501)</f>
        <v/>
      </c>
      <c r="X501" s="11">
        <f>IF(V501="","",V501/R501)</f>
        <v/>
      </c>
      <c r="Y501" s="8">
        <f>IF(OR($E501="",L501=""),"",IF($E501="LONG",L501-K501,K501-L501))</f>
        <v/>
      </c>
      <c r="AP501" s="7" t="n"/>
    </row>
  </sheetData>
  <dataValidations count="4">
    <dataValidation sqref="E2:E501" showDropDown="0" showInputMessage="0" showErrorMessage="0" allowBlank="1" type="list">
      <formula1>"LONG,SHORT"</formula1>
    </dataValidation>
    <dataValidation sqref="U2:U501" showDropDown="0" showInputMessage="0" showErrorMessage="0" allowBlank="1" type="list">
      <formula1>"A-Stop,B-Target,C-VWAP,C-EMA,D-Time,Manual-Other"</formula1>
    </dataValidation>
    <dataValidation sqref="AH2:AH501 AL2:AL501 AM2:AM501" showDropDown="0" showInputMessage="0" showErrorMessage="0" allowBlank="1" type="list">
      <formula1>"Y,N"</formula1>
    </dataValidation>
    <dataValidation sqref="AN2:AN501" showDropDown="0" showInputMessage="0" showErrorMessage="0" allowBlank="1" type="list">
      <formula1>"none,chased,moved stop,oversized,early exit,late exit,skipped checklist,wrong account,revenge,other"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1" t="inlineStr">
        <is>
          <t>RB v1 performance (Chapter 40)</t>
        </is>
      </c>
      <c r="D1" t="inlineStr">
        <is>
          <t>Cum R</t>
        </is>
      </c>
      <c r="E1" t="inlineStr">
        <is>
          <t>Peak</t>
        </is>
      </c>
      <c r="F1" t="inlineStr">
        <is>
          <t>Drawdown</t>
        </is>
      </c>
    </row>
    <row r="2">
      <c r="D2">
        <f>IF(Journal!X2="","",SUM(Journal!$X$2:X2))</f>
        <v/>
      </c>
      <c r="E2">
        <f>IF(D2="","",MAX(0,MAX($D$2:D2)))</f>
        <v/>
      </c>
      <c r="F2">
        <f>IF(D2="","",E2-D2)</f>
        <v/>
      </c>
    </row>
    <row r="3">
      <c r="A3" t="inlineStr">
        <is>
          <t>Trades (closed)</t>
        </is>
      </c>
      <c r="B3" s="12">
        <f>COUNT(Journal!X2:X501)</f>
        <v/>
      </c>
      <c r="D3">
        <f>IF(Journal!X3="","",SUM(Journal!$X$2:X3))</f>
        <v/>
      </c>
      <c r="E3">
        <f>IF(D3="","",MAX(0,MAX($D$2:D3)))</f>
        <v/>
      </c>
      <c r="F3">
        <f>IF(D3="","",E3-D3)</f>
        <v/>
      </c>
    </row>
    <row r="4">
      <c r="A4" t="inlineStr">
        <is>
          <t>Wins</t>
        </is>
      </c>
      <c r="B4" s="12">
        <f>COUNTIF(Journal!X2:X501,"&gt;0")</f>
        <v/>
      </c>
      <c r="D4">
        <f>IF(Journal!X4="","",SUM(Journal!$X$2:X4))</f>
        <v/>
      </c>
      <c r="E4">
        <f>IF(D4="","",MAX(0,MAX($D$2:D4)))</f>
        <v/>
      </c>
      <c r="F4">
        <f>IF(D4="","",E4-D4)</f>
        <v/>
      </c>
    </row>
    <row r="5">
      <c r="A5" t="inlineStr">
        <is>
          <t>Losses</t>
        </is>
      </c>
      <c r="B5" s="12">
        <f>COUNTIF(Journal!X2:X501,"&lt;=0")</f>
        <v/>
      </c>
      <c r="D5">
        <f>IF(Journal!X5="","",SUM(Journal!$X$2:X5))</f>
        <v/>
      </c>
      <c r="E5">
        <f>IF(D5="","",MAX(0,MAX($D$2:D5)))</f>
        <v/>
      </c>
      <c r="F5">
        <f>IF(D5="","",E5-D5)</f>
        <v/>
      </c>
    </row>
    <row r="6">
      <c r="A6" t="inlineStr">
        <is>
          <t>Win rate</t>
        </is>
      </c>
      <c r="B6" s="13">
        <f>IFERROR(B4/B3,0)</f>
        <v/>
      </c>
      <c r="D6">
        <f>IF(Journal!X6="","",SUM(Journal!$X$2:X6))</f>
        <v/>
      </c>
      <c r="E6">
        <f>IF(D6="","",MAX(0,MAX($D$2:D6)))</f>
        <v/>
      </c>
      <c r="F6">
        <f>IF(D6="","",E6-D6)</f>
        <v/>
      </c>
    </row>
    <row r="7">
      <c r="A7" t="inlineStr">
        <is>
          <t>Loss rate</t>
        </is>
      </c>
      <c r="B7" s="13">
        <f>IFERROR(B5/B3,0)</f>
        <v/>
      </c>
      <c r="D7">
        <f>IF(Journal!X7="","",SUM(Journal!$X$2:X7))</f>
        <v/>
      </c>
      <c r="E7">
        <f>IF(D7="","",MAX(0,MAX($D$2:D7)))</f>
        <v/>
      </c>
      <c r="F7">
        <f>IF(D7="","",E7-D7)</f>
        <v/>
      </c>
    </row>
    <row r="8">
      <c r="A8" t="inlineStr">
        <is>
          <t>Average winner (R)</t>
        </is>
      </c>
      <c r="B8" s="14">
        <f>IFERROR(AVERAGEIF(Journal!X2:X501,"&gt;0"),0)</f>
        <v/>
      </c>
      <c r="D8">
        <f>IF(Journal!X8="","",SUM(Journal!$X$2:X8))</f>
        <v/>
      </c>
      <c r="E8">
        <f>IF(D8="","",MAX(0,MAX($D$2:D8)))</f>
        <v/>
      </c>
      <c r="F8">
        <f>IF(D8="","",E8-D8)</f>
        <v/>
      </c>
    </row>
    <row r="9">
      <c r="A9" t="inlineStr">
        <is>
          <t>Average loser (R)</t>
        </is>
      </c>
      <c r="B9" s="14">
        <f>IFERROR(AVERAGEIF(Journal!X2:X501,"&lt;=0"),0)</f>
        <v/>
      </c>
      <c r="D9">
        <f>IF(Journal!X9="","",SUM(Journal!$X$2:X9))</f>
        <v/>
      </c>
      <c r="E9">
        <f>IF(D9="","",MAX(0,MAX($D$2:D9)))</f>
        <v/>
      </c>
      <c r="F9">
        <f>IF(D9="","",E9-D9)</f>
        <v/>
      </c>
    </row>
    <row r="10">
      <c r="A10" t="inlineStr">
        <is>
          <t>Payoff ratio</t>
        </is>
      </c>
      <c r="B10" s="14">
        <f>IFERROR(B8/ABS(B9),0)</f>
        <v/>
      </c>
      <c r="D10">
        <f>IF(Journal!X10="","",SUM(Journal!$X$2:X10))</f>
        <v/>
      </c>
      <c r="E10">
        <f>IF(D10="","",MAX(0,MAX($D$2:D10)))</f>
        <v/>
      </c>
      <c r="F10">
        <f>IF(D10="","",E10-D10)</f>
        <v/>
      </c>
    </row>
    <row r="11">
      <c r="A11" t="inlineStr">
        <is>
          <t>Expectancy (R/trade)</t>
        </is>
      </c>
      <c r="B11" s="15">
        <f>B6*B8-B7*ABS(B9)</f>
        <v/>
      </c>
      <c r="D11">
        <f>IF(Journal!X11="","",SUM(Journal!$X$2:X11))</f>
        <v/>
      </c>
      <c r="E11">
        <f>IF(D11="","",MAX(0,MAX($D$2:D11)))</f>
        <v/>
      </c>
      <c r="F11">
        <f>IF(D11="","",E11-D11)</f>
        <v/>
      </c>
    </row>
    <row r="12">
      <c r="A12" t="inlineStr">
        <is>
          <t>Total R</t>
        </is>
      </c>
      <c r="B12" s="15">
        <f>SUM(Journal!X2:X501)</f>
        <v/>
      </c>
      <c r="D12">
        <f>IF(Journal!X12="","",SUM(Journal!$X$2:X12))</f>
        <v/>
      </c>
      <c r="E12">
        <f>IF(D12="","",MAX(0,MAX($D$2:D12)))</f>
        <v/>
      </c>
      <c r="F12">
        <f>IF(D12="","",E12-D12)</f>
        <v/>
      </c>
    </row>
    <row r="13">
      <c r="A13" t="inlineStr">
        <is>
          <t>Total P/L ($)</t>
        </is>
      </c>
      <c r="B13" s="5">
        <f>SUM(Journal!V2:V501)</f>
        <v/>
      </c>
      <c r="D13">
        <f>IF(Journal!X13="","",SUM(Journal!$X$2:X13))</f>
        <v/>
      </c>
      <c r="E13">
        <f>IF(D13="","",MAX(0,MAX($D$2:D13)))</f>
        <v/>
      </c>
      <c r="F13">
        <f>IF(D13="","",E13-D13)</f>
        <v/>
      </c>
    </row>
    <row r="14">
      <c r="A14" t="inlineStr">
        <is>
          <t>Profit factor</t>
        </is>
      </c>
      <c r="B14" s="14">
        <f>IFERROR(SUMIF(Journal!X2:X501,"&gt;0")/ABS(SUMIF(Journal!X2:X501,"&lt;0")),0)</f>
        <v/>
      </c>
      <c r="D14">
        <f>IF(Journal!X14="","",SUM(Journal!$X$2:X14))</f>
        <v/>
      </c>
      <c r="E14">
        <f>IF(D14="","",MAX(0,MAX($D$2:D14)))</f>
        <v/>
      </c>
      <c r="F14">
        <f>IF(D14="","",E14-D14)</f>
        <v/>
      </c>
    </row>
    <row r="15">
      <c r="A15" t="inlineStr">
        <is>
          <t>Rules followed %</t>
        </is>
      </c>
      <c r="B15" s="13">
        <f>IFERROR(COUNTIF(Journal!AM2:AM501,"Y")/COUNTA(Journal!AM2:AM501),0)</f>
        <v/>
      </c>
      <c r="D15">
        <f>IF(Journal!X15="","",SUM(Journal!$X$2:X15))</f>
        <v/>
      </c>
      <c r="E15">
        <f>IF(D15="","",MAX(0,MAX($D$2:D15)))</f>
        <v/>
      </c>
      <c r="F15">
        <f>IF(D15="","",E15-D15)</f>
        <v/>
      </c>
    </row>
    <row r="16">
      <c r="A16" t="inlineStr">
        <is>
          <t>LONG expectancy (R)</t>
        </is>
      </c>
      <c r="B16" s="15">
        <f>IFERROR(AVERAGEIF(Journal!E2:E501,"LONG",Journal!X2:X501),0)</f>
        <v/>
      </c>
      <c r="D16">
        <f>IF(Journal!X16="","",SUM(Journal!$X$2:X16))</f>
        <v/>
      </c>
      <c r="E16">
        <f>IF(D16="","",MAX(0,MAX($D$2:D16)))</f>
        <v/>
      </c>
      <c r="F16">
        <f>IF(D16="","",E16-D16)</f>
        <v/>
      </c>
    </row>
    <row r="17">
      <c r="A17" t="inlineStr">
        <is>
          <t>SHORT expectancy (R)</t>
        </is>
      </c>
      <c r="B17" s="15">
        <f>IFERROR(AVERAGEIF(Journal!E2:E501,"SHORT",Journal!X2:X501),0)</f>
        <v/>
      </c>
      <c r="D17">
        <f>IF(Journal!X17="","",SUM(Journal!$X$2:X17))</f>
        <v/>
      </c>
      <c r="E17">
        <f>IF(D17="","",MAX(0,MAX($D$2:D17)))</f>
        <v/>
      </c>
      <c r="F17">
        <f>IF(D17="","",E17-D17)</f>
        <v/>
      </c>
    </row>
    <row r="18">
      <c r="A18" t="inlineStr">
        <is>
          <t>Average entry slippage ($/sh)</t>
        </is>
      </c>
      <c r="B18" s="16">
        <f>IFERROR(AVERAGE(Journal!Y2:Y501),0)</f>
        <v/>
      </c>
      <c r="D18">
        <f>IF(Journal!X18="","",SUM(Journal!$X$2:X18))</f>
        <v/>
      </c>
      <c r="E18">
        <f>IF(D18="","",MAX(0,MAX($D$2:D18)))</f>
        <v/>
      </c>
      <c r="F18">
        <f>IF(D18="","",E18-D18)</f>
        <v/>
      </c>
    </row>
    <row r="19">
      <c r="A19" t="inlineStr">
        <is>
          <t>Max drawdown (R)</t>
        </is>
      </c>
      <c r="B19" s="14">
        <f>IFERROR(MAX(Stats!F2:F501),0)</f>
        <v/>
      </c>
      <c r="D19">
        <f>IF(Journal!X19="","",SUM(Journal!$X$2:X19))</f>
        <v/>
      </c>
      <c r="E19">
        <f>IF(D19="","",MAX(0,MAX($D$2:D19)))</f>
        <v/>
      </c>
      <c r="F19">
        <f>IF(D19="","",E19-D19)</f>
        <v/>
      </c>
    </row>
    <row r="20">
      <c r="D20">
        <f>IF(Journal!X20="","",SUM(Journal!$X$2:X20))</f>
        <v/>
      </c>
      <c r="E20">
        <f>IF(D20="","",MAX(0,MAX($D$2:D20)))</f>
        <v/>
      </c>
      <c r="F20">
        <f>IF(D20="","",E20-D20)</f>
        <v/>
      </c>
    </row>
    <row r="21">
      <c r="A21" t="inlineStr">
        <is>
          <t>Interpretation: see Chapter 40. Fewer than 50 trades = workflow data only.</t>
        </is>
      </c>
      <c r="D21">
        <f>IF(Journal!X21="","",SUM(Journal!$X$2:X21))</f>
        <v/>
      </c>
      <c r="E21">
        <f>IF(D21="","",MAX(0,MAX($D$2:D21)))</f>
        <v/>
      </c>
      <c r="F21">
        <f>IF(D21="","",E21-D21)</f>
        <v/>
      </c>
    </row>
    <row r="22">
      <c r="D22">
        <f>IF(Journal!X22="","",SUM(Journal!$X$2:X22))</f>
        <v/>
      </c>
      <c r="E22">
        <f>IF(D22="","",MAX(0,MAX($D$2:D22)))</f>
        <v/>
      </c>
      <c r="F22">
        <f>IF(D22="","",E22-D22)</f>
        <v/>
      </c>
    </row>
    <row r="23">
      <c r="D23">
        <f>IF(Journal!X23="","",SUM(Journal!$X$2:X23))</f>
        <v/>
      </c>
      <c r="E23">
        <f>IF(D23="","",MAX(0,MAX($D$2:D23)))</f>
        <v/>
      </c>
      <c r="F23">
        <f>IF(D23="","",E23-D23)</f>
        <v/>
      </c>
    </row>
    <row r="24">
      <c r="D24">
        <f>IF(Journal!X24="","",SUM(Journal!$X$2:X24))</f>
        <v/>
      </c>
      <c r="E24">
        <f>IF(D24="","",MAX(0,MAX($D$2:D24)))</f>
        <v/>
      </c>
      <c r="F24">
        <f>IF(D24="","",E24-D24)</f>
        <v/>
      </c>
    </row>
    <row r="25">
      <c r="D25">
        <f>IF(Journal!X25="","",SUM(Journal!$X$2:X25))</f>
        <v/>
      </c>
      <c r="E25">
        <f>IF(D25="","",MAX(0,MAX($D$2:D25)))</f>
        <v/>
      </c>
      <c r="F25">
        <f>IF(D25="","",E25-D25)</f>
        <v/>
      </c>
    </row>
    <row r="26">
      <c r="D26">
        <f>IF(Journal!X26="","",SUM(Journal!$X$2:X26))</f>
        <v/>
      </c>
      <c r="E26">
        <f>IF(D26="","",MAX(0,MAX($D$2:D26)))</f>
        <v/>
      </c>
      <c r="F26">
        <f>IF(D26="","",E26-D26)</f>
        <v/>
      </c>
    </row>
    <row r="27">
      <c r="D27">
        <f>IF(Journal!X27="","",SUM(Journal!$X$2:X27))</f>
        <v/>
      </c>
      <c r="E27">
        <f>IF(D27="","",MAX(0,MAX($D$2:D27)))</f>
        <v/>
      </c>
      <c r="F27">
        <f>IF(D27="","",E27-D27)</f>
        <v/>
      </c>
    </row>
    <row r="28">
      <c r="D28">
        <f>IF(Journal!X28="","",SUM(Journal!$X$2:X28))</f>
        <v/>
      </c>
      <c r="E28">
        <f>IF(D28="","",MAX(0,MAX($D$2:D28)))</f>
        <v/>
      </c>
      <c r="F28">
        <f>IF(D28="","",E28-D28)</f>
        <v/>
      </c>
    </row>
    <row r="29">
      <c r="D29">
        <f>IF(Journal!X29="","",SUM(Journal!$X$2:X29))</f>
        <v/>
      </c>
      <c r="E29">
        <f>IF(D29="","",MAX(0,MAX($D$2:D29)))</f>
        <v/>
      </c>
      <c r="F29">
        <f>IF(D29="","",E29-D29)</f>
        <v/>
      </c>
    </row>
    <row r="30">
      <c r="D30">
        <f>IF(Journal!X30="","",SUM(Journal!$X$2:X30))</f>
        <v/>
      </c>
      <c r="E30">
        <f>IF(D30="","",MAX(0,MAX($D$2:D30)))</f>
        <v/>
      </c>
      <c r="F30">
        <f>IF(D30="","",E30-D30)</f>
        <v/>
      </c>
    </row>
    <row r="31">
      <c r="D31">
        <f>IF(Journal!X31="","",SUM(Journal!$X$2:X31))</f>
        <v/>
      </c>
      <c r="E31">
        <f>IF(D31="","",MAX(0,MAX($D$2:D31)))</f>
        <v/>
      </c>
      <c r="F31">
        <f>IF(D31="","",E31-D31)</f>
        <v/>
      </c>
    </row>
    <row r="32">
      <c r="D32">
        <f>IF(Journal!X32="","",SUM(Journal!$X$2:X32))</f>
        <v/>
      </c>
      <c r="E32">
        <f>IF(D32="","",MAX(0,MAX($D$2:D32)))</f>
        <v/>
      </c>
      <c r="F32">
        <f>IF(D32="","",E32-D32)</f>
        <v/>
      </c>
    </row>
    <row r="33">
      <c r="D33">
        <f>IF(Journal!X33="","",SUM(Journal!$X$2:X33))</f>
        <v/>
      </c>
      <c r="E33">
        <f>IF(D33="","",MAX(0,MAX($D$2:D33)))</f>
        <v/>
      </c>
      <c r="F33">
        <f>IF(D33="","",E33-D33)</f>
        <v/>
      </c>
    </row>
    <row r="34">
      <c r="D34">
        <f>IF(Journal!X34="","",SUM(Journal!$X$2:X34))</f>
        <v/>
      </c>
      <c r="E34">
        <f>IF(D34="","",MAX(0,MAX($D$2:D34)))</f>
        <v/>
      </c>
      <c r="F34">
        <f>IF(D34="","",E34-D34)</f>
        <v/>
      </c>
    </row>
    <row r="35">
      <c r="D35">
        <f>IF(Journal!X35="","",SUM(Journal!$X$2:X35))</f>
        <v/>
      </c>
      <c r="E35">
        <f>IF(D35="","",MAX(0,MAX($D$2:D35)))</f>
        <v/>
      </c>
      <c r="F35">
        <f>IF(D35="","",E35-D35)</f>
        <v/>
      </c>
    </row>
    <row r="36">
      <c r="D36">
        <f>IF(Journal!X36="","",SUM(Journal!$X$2:X36))</f>
        <v/>
      </c>
      <c r="E36">
        <f>IF(D36="","",MAX(0,MAX($D$2:D36)))</f>
        <v/>
      </c>
      <c r="F36">
        <f>IF(D36="","",E36-D36)</f>
        <v/>
      </c>
    </row>
    <row r="37">
      <c r="D37">
        <f>IF(Journal!X37="","",SUM(Journal!$X$2:X37))</f>
        <v/>
      </c>
      <c r="E37">
        <f>IF(D37="","",MAX(0,MAX($D$2:D37)))</f>
        <v/>
      </c>
      <c r="F37">
        <f>IF(D37="","",E37-D37)</f>
        <v/>
      </c>
    </row>
    <row r="38">
      <c r="D38">
        <f>IF(Journal!X38="","",SUM(Journal!$X$2:X38))</f>
        <v/>
      </c>
      <c r="E38">
        <f>IF(D38="","",MAX(0,MAX($D$2:D38)))</f>
        <v/>
      </c>
      <c r="F38">
        <f>IF(D38="","",E38-D38)</f>
        <v/>
      </c>
    </row>
    <row r="39">
      <c r="D39">
        <f>IF(Journal!X39="","",SUM(Journal!$X$2:X39))</f>
        <v/>
      </c>
      <c r="E39">
        <f>IF(D39="","",MAX(0,MAX($D$2:D39)))</f>
        <v/>
      </c>
      <c r="F39">
        <f>IF(D39="","",E39-D39)</f>
        <v/>
      </c>
    </row>
    <row r="40">
      <c r="D40">
        <f>IF(Journal!X40="","",SUM(Journal!$X$2:X40))</f>
        <v/>
      </c>
      <c r="E40">
        <f>IF(D40="","",MAX(0,MAX($D$2:D40)))</f>
        <v/>
      </c>
      <c r="F40">
        <f>IF(D40="","",E40-D40)</f>
        <v/>
      </c>
    </row>
    <row r="41">
      <c r="D41">
        <f>IF(Journal!X41="","",SUM(Journal!$X$2:X41))</f>
        <v/>
      </c>
      <c r="E41">
        <f>IF(D41="","",MAX(0,MAX($D$2:D41)))</f>
        <v/>
      </c>
      <c r="F41">
        <f>IF(D41="","",E41-D41)</f>
        <v/>
      </c>
    </row>
    <row r="42">
      <c r="D42">
        <f>IF(Journal!X42="","",SUM(Journal!$X$2:X42))</f>
        <v/>
      </c>
      <c r="E42">
        <f>IF(D42="","",MAX(0,MAX($D$2:D42)))</f>
        <v/>
      </c>
      <c r="F42">
        <f>IF(D42="","",E42-D42)</f>
        <v/>
      </c>
    </row>
    <row r="43">
      <c r="D43">
        <f>IF(Journal!X43="","",SUM(Journal!$X$2:X43))</f>
        <v/>
      </c>
      <c r="E43">
        <f>IF(D43="","",MAX(0,MAX($D$2:D43)))</f>
        <v/>
      </c>
      <c r="F43">
        <f>IF(D43="","",E43-D43)</f>
        <v/>
      </c>
    </row>
    <row r="44">
      <c r="D44">
        <f>IF(Journal!X44="","",SUM(Journal!$X$2:X44))</f>
        <v/>
      </c>
      <c r="E44">
        <f>IF(D44="","",MAX(0,MAX($D$2:D44)))</f>
        <v/>
      </c>
      <c r="F44">
        <f>IF(D44="","",E44-D44)</f>
        <v/>
      </c>
    </row>
    <row r="45">
      <c r="D45">
        <f>IF(Journal!X45="","",SUM(Journal!$X$2:X45))</f>
        <v/>
      </c>
      <c r="E45">
        <f>IF(D45="","",MAX(0,MAX($D$2:D45)))</f>
        <v/>
      </c>
      <c r="F45">
        <f>IF(D45="","",E45-D45)</f>
        <v/>
      </c>
    </row>
    <row r="46">
      <c r="D46">
        <f>IF(Journal!X46="","",SUM(Journal!$X$2:X46))</f>
        <v/>
      </c>
      <c r="E46">
        <f>IF(D46="","",MAX(0,MAX($D$2:D46)))</f>
        <v/>
      </c>
      <c r="F46">
        <f>IF(D46="","",E46-D46)</f>
        <v/>
      </c>
    </row>
    <row r="47">
      <c r="D47">
        <f>IF(Journal!X47="","",SUM(Journal!$X$2:X47))</f>
        <v/>
      </c>
      <c r="E47">
        <f>IF(D47="","",MAX(0,MAX($D$2:D47)))</f>
        <v/>
      </c>
      <c r="F47">
        <f>IF(D47="","",E47-D47)</f>
        <v/>
      </c>
    </row>
    <row r="48">
      <c r="D48">
        <f>IF(Journal!X48="","",SUM(Journal!$X$2:X48))</f>
        <v/>
      </c>
      <c r="E48">
        <f>IF(D48="","",MAX(0,MAX($D$2:D48)))</f>
        <v/>
      </c>
      <c r="F48">
        <f>IF(D48="","",E48-D48)</f>
        <v/>
      </c>
    </row>
    <row r="49">
      <c r="D49">
        <f>IF(Journal!X49="","",SUM(Journal!$X$2:X49))</f>
        <v/>
      </c>
      <c r="E49">
        <f>IF(D49="","",MAX(0,MAX($D$2:D49)))</f>
        <v/>
      </c>
      <c r="F49">
        <f>IF(D49="","",E49-D49)</f>
        <v/>
      </c>
    </row>
    <row r="50">
      <c r="D50">
        <f>IF(Journal!X50="","",SUM(Journal!$X$2:X50))</f>
        <v/>
      </c>
      <c r="E50">
        <f>IF(D50="","",MAX(0,MAX($D$2:D50)))</f>
        <v/>
      </c>
      <c r="F50">
        <f>IF(D50="","",E50-D50)</f>
        <v/>
      </c>
    </row>
    <row r="51">
      <c r="D51">
        <f>IF(Journal!X51="","",SUM(Journal!$X$2:X51))</f>
        <v/>
      </c>
      <c r="E51">
        <f>IF(D51="","",MAX(0,MAX($D$2:D51)))</f>
        <v/>
      </c>
      <c r="F51">
        <f>IF(D51="","",E51-D51)</f>
        <v/>
      </c>
    </row>
    <row r="52">
      <c r="D52">
        <f>IF(Journal!X52="","",SUM(Journal!$X$2:X52))</f>
        <v/>
      </c>
      <c r="E52">
        <f>IF(D52="","",MAX(0,MAX($D$2:D52)))</f>
        <v/>
      </c>
      <c r="F52">
        <f>IF(D52="","",E52-D52)</f>
        <v/>
      </c>
    </row>
    <row r="53">
      <c r="D53">
        <f>IF(Journal!X53="","",SUM(Journal!$X$2:X53))</f>
        <v/>
      </c>
      <c r="E53">
        <f>IF(D53="","",MAX(0,MAX($D$2:D53)))</f>
        <v/>
      </c>
      <c r="F53">
        <f>IF(D53="","",E53-D53)</f>
        <v/>
      </c>
    </row>
    <row r="54">
      <c r="D54">
        <f>IF(Journal!X54="","",SUM(Journal!$X$2:X54))</f>
        <v/>
      </c>
      <c r="E54">
        <f>IF(D54="","",MAX(0,MAX($D$2:D54)))</f>
        <v/>
      </c>
      <c r="F54">
        <f>IF(D54="","",E54-D54)</f>
        <v/>
      </c>
    </row>
    <row r="55">
      <c r="D55">
        <f>IF(Journal!X55="","",SUM(Journal!$X$2:X55))</f>
        <v/>
      </c>
      <c r="E55">
        <f>IF(D55="","",MAX(0,MAX($D$2:D55)))</f>
        <v/>
      </c>
      <c r="F55">
        <f>IF(D55="","",E55-D55)</f>
        <v/>
      </c>
    </row>
    <row r="56">
      <c r="D56">
        <f>IF(Journal!X56="","",SUM(Journal!$X$2:X56))</f>
        <v/>
      </c>
      <c r="E56">
        <f>IF(D56="","",MAX(0,MAX($D$2:D56)))</f>
        <v/>
      </c>
      <c r="F56">
        <f>IF(D56="","",E56-D56)</f>
        <v/>
      </c>
    </row>
    <row r="57">
      <c r="D57">
        <f>IF(Journal!X57="","",SUM(Journal!$X$2:X57))</f>
        <v/>
      </c>
      <c r="E57">
        <f>IF(D57="","",MAX(0,MAX($D$2:D57)))</f>
        <v/>
      </c>
      <c r="F57">
        <f>IF(D57="","",E57-D57)</f>
        <v/>
      </c>
    </row>
    <row r="58">
      <c r="D58">
        <f>IF(Journal!X58="","",SUM(Journal!$X$2:X58))</f>
        <v/>
      </c>
      <c r="E58">
        <f>IF(D58="","",MAX(0,MAX($D$2:D58)))</f>
        <v/>
      </c>
      <c r="F58">
        <f>IF(D58="","",E58-D58)</f>
        <v/>
      </c>
    </row>
    <row r="59">
      <c r="D59">
        <f>IF(Journal!X59="","",SUM(Journal!$X$2:X59))</f>
        <v/>
      </c>
      <c r="E59">
        <f>IF(D59="","",MAX(0,MAX($D$2:D59)))</f>
        <v/>
      </c>
      <c r="F59">
        <f>IF(D59="","",E59-D59)</f>
        <v/>
      </c>
    </row>
    <row r="60">
      <c r="D60">
        <f>IF(Journal!X60="","",SUM(Journal!$X$2:X60))</f>
        <v/>
      </c>
      <c r="E60">
        <f>IF(D60="","",MAX(0,MAX($D$2:D60)))</f>
        <v/>
      </c>
      <c r="F60">
        <f>IF(D60="","",E60-D60)</f>
        <v/>
      </c>
    </row>
    <row r="61">
      <c r="D61">
        <f>IF(Journal!X61="","",SUM(Journal!$X$2:X61))</f>
        <v/>
      </c>
      <c r="E61">
        <f>IF(D61="","",MAX(0,MAX($D$2:D61)))</f>
        <v/>
      </c>
      <c r="F61">
        <f>IF(D61="","",E61-D61)</f>
        <v/>
      </c>
    </row>
    <row r="62">
      <c r="D62">
        <f>IF(Journal!X62="","",SUM(Journal!$X$2:X62))</f>
        <v/>
      </c>
      <c r="E62">
        <f>IF(D62="","",MAX(0,MAX($D$2:D62)))</f>
        <v/>
      </c>
      <c r="F62">
        <f>IF(D62="","",E62-D62)</f>
        <v/>
      </c>
    </row>
    <row r="63">
      <c r="D63">
        <f>IF(Journal!X63="","",SUM(Journal!$X$2:X63))</f>
        <v/>
      </c>
      <c r="E63">
        <f>IF(D63="","",MAX(0,MAX($D$2:D63)))</f>
        <v/>
      </c>
      <c r="F63">
        <f>IF(D63="","",E63-D63)</f>
        <v/>
      </c>
    </row>
    <row r="64">
      <c r="D64">
        <f>IF(Journal!X64="","",SUM(Journal!$X$2:X64))</f>
        <v/>
      </c>
      <c r="E64">
        <f>IF(D64="","",MAX(0,MAX($D$2:D64)))</f>
        <v/>
      </c>
      <c r="F64">
        <f>IF(D64="","",E64-D64)</f>
        <v/>
      </c>
    </row>
    <row r="65">
      <c r="D65">
        <f>IF(Journal!X65="","",SUM(Journal!$X$2:X65))</f>
        <v/>
      </c>
      <c r="E65">
        <f>IF(D65="","",MAX(0,MAX($D$2:D65)))</f>
        <v/>
      </c>
      <c r="F65">
        <f>IF(D65="","",E65-D65)</f>
        <v/>
      </c>
    </row>
    <row r="66">
      <c r="D66">
        <f>IF(Journal!X66="","",SUM(Journal!$X$2:X66))</f>
        <v/>
      </c>
      <c r="E66">
        <f>IF(D66="","",MAX(0,MAX($D$2:D66)))</f>
        <v/>
      </c>
      <c r="F66">
        <f>IF(D66="","",E66-D66)</f>
        <v/>
      </c>
    </row>
    <row r="67">
      <c r="D67">
        <f>IF(Journal!X67="","",SUM(Journal!$X$2:X67))</f>
        <v/>
      </c>
      <c r="E67">
        <f>IF(D67="","",MAX(0,MAX($D$2:D67)))</f>
        <v/>
      </c>
      <c r="F67">
        <f>IF(D67="","",E67-D67)</f>
        <v/>
      </c>
    </row>
    <row r="68">
      <c r="D68">
        <f>IF(Journal!X68="","",SUM(Journal!$X$2:X68))</f>
        <v/>
      </c>
      <c r="E68">
        <f>IF(D68="","",MAX(0,MAX($D$2:D68)))</f>
        <v/>
      </c>
      <c r="F68">
        <f>IF(D68="","",E68-D68)</f>
        <v/>
      </c>
    </row>
    <row r="69">
      <c r="D69">
        <f>IF(Journal!X69="","",SUM(Journal!$X$2:X69))</f>
        <v/>
      </c>
      <c r="E69">
        <f>IF(D69="","",MAX(0,MAX($D$2:D69)))</f>
        <v/>
      </c>
      <c r="F69">
        <f>IF(D69="","",E69-D69)</f>
        <v/>
      </c>
    </row>
    <row r="70">
      <c r="D70">
        <f>IF(Journal!X70="","",SUM(Journal!$X$2:X70))</f>
        <v/>
      </c>
      <c r="E70">
        <f>IF(D70="","",MAX(0,MAX($D$2:D70)))</f>
        <v/>
      </c>
      <c r="F70">
        <f>IF(D70="","",E70-D70)</f>
        <v/>
      </c>
    </row>
    <row r="71">
      <c r="D71">
        <f>IF(Journal!X71="","",SUM(Journal!$X$2:X71))</f>
        <v/>
      </c>
      <c r="E71">
        <f>IF(D71="","",MAX(0,MAX($D$2:D71)))</f>
        <v/>
      </c>
      <c r="F71">
        <f>IF(D71="","",E71-D71)</f>
        <v/>
      </c>
    </row>
    <row r="72">
      <c r="D72">
        <f>IF(Journal!X72="","",SUM(Journal!$X$2:X72))</f>
        <v/>
      </c>
      <c r="E72">
        <f>IF(D72="","",MAX(0,MAX($D$2:D72)))</f>
        <v/>
      </c>
      <c r="F72">
        <f>IF(D72="","",E72-D72)</f>
        <v/>
      </c>
    </row>
    <row r="73">
      <c r="D73">
        <f>IF(Journal!X73="","",SUM(Journal!$X$2:X73))</f>
        <v/>
      </c>
      <c r="E73">
        <f>IF(D73="","",MAX(0,MAX($D$2:D73)))</f>
        <v/>
      </c>
      <c r="F73">
        <f>IF(D73="","",E73-D73)</f>
        <v/>
      </c>
    </row>
    <row r="74">
      <c r="D74">
        <f>IF(Journal!X74="","",SUM(Journal!$X$2:X74))</f>
        <v/>
      </c>
      <c r="E74">
        <f>IF(D74="","",MAX(0,MAX($D$2:D74)))</f>
        <v/>
      </c>
      <c r="F74">
        <f>IF(D74="","",E74-D74)</f>
        <v/>
      </c>
    </row>
    <row r="75">
      <c r="D75">
        <f>IF(Journal!X75="","",SUM(Journal!$X$2:X75))</f>
        <v/>
      </c>
      <c r="E75">
        <f>IF(D75="","",MAX(0,MAX($D$2:D75)))</f>
        <v/>
      </c>
      <c r="F75">
        <f>IF(D75="","",E75-D75)</f>
        <v/>
      </c>
    </row>
    <row r="76">
      <c r="D76">
        <f>IF(Journal!X76="","",SUM(Journal!$X$2:X76))</f>
        <v/>
      </c>
      <c r="E76">
        <f>IF(D76="","",MAX(0,MAX($D$2:D76)))</f>
        <v/>
      </c>
      <c r="F76">
        <f>IF(D76="","",E76-D76)</f>
        <v/>
      </c>
    </row>
    <row r="77">
      <c r="D77">
        <f>IF(Journal!X77="","",SUM(Journal!$X$2:X77))</f>
        <v/>
      </c>
      <c r="E77">
        <f>IF(D77="","",MAX(0,MAX($D$2:D77)))</f>
        <v/>
      </c>
      <c r="F77">
        <f>IF(D77="","",E77-D77)</f>
        <v/>
      </c>
    </row>
    <row r="78">
      <c r="D78">
        <f>IF(Journal!X78="","",SUM(Journal!$X$2:X78))</f>
        <v/>
      </c>
      <c r="E78">
        <f>IF(D78="","",MAX(0,MAX($D$2:D78)))</f>
        <v/>
      </c>
      <c r="F78">
        <f>IF(D78="","",E78-D78)</f>
        <v/>
      </c>
    </row>
    <row r="79">
      <c r="D79">
        <f>IF(Journal!X79="","",SUM(Journal!$X$2:X79))</f>
        <v/>
      </c>
      <c r="E79">
        <f>IF(D79="","",MAX(0,MAX($D$2:D79)))</f>
        <v/>
      </c>
      <c r="F79">
        <f>IF(D79="","",E79-D79)</f>
        <v/>
      </c>
    </row>
    <row r="80">
      <c r="D80">
        <f>IF(Journal!X80="","",SUM(Journal!$X$2:X80))</f>
        <v/>
      </c>
      <c r="E80">
        <f>IF(D80="","",MAX(0,MAX($D$2:D80)))</f>
        <v/>
      </c>
      <c r="F80">
        <f>IF(D80="","",E80-D80)</f>
        <v/>
      </c>
    </row>
    <row r="81">
      <c r="D81">
        <f>IF(Journal!X81="","",SUM(Journal!$X$2:X81))</f>
        <v/>
      </c>
      <c r="E81">
        <f>IF(D81="","",MAX(0,MAX($D$2:D81)))</f>
        <v/>
      </c>
      <c r="F81">
        <f>IF(D81="","",E81-D81)</f>
        <v/>
      </c>
    </row>
    <row r="82">
      <c r="D82">
        <f>IF(Journal!X82="","",SUM(Journal!$X$2:X82))</f>
        <v/>
      </c>
      <c r="E82">
        <f>IF(D82="","",MAX(0,MAX($D$2:D82)))</f>
        <v/>
      </c>
      <c r="F82">
        <f>IF(D82="","",E82-D82)</f>
        <v/>
      </c>
    </row>
    <row r="83">
      <c r="D83">
        <f>IF(Journal!X83="","",SUM(Journal!$X$2:X83))</f>
        <v/>
      </c>
      <c r="E83">
        <f>IF(D83="","",MAX(0,MAX($D$2:D83)))</f>
        <v/>
      </c>
      <c r="F83">
        <f>IF(D83="","",E83-D83)</f>
        <v/>
      </c>
    </row>
    <row r="84">
      <c r="D84">
        <f>IF(Journal!X84="","",SUM(Journal!$X$2:X84))</f>
        <v/>
      </c>
      <c r="E84">
        <f>IF(D84="","",MAX(0,MAX($D$2:D84)))</f>
        <v/>
      </c>
      <c r="F84">
        <f>IF(D84="","",E84-D84)</f>
        <v/>
      </c>
    </row>
    <row r="85">
      <c r="D85">
        <f>IF(Journal!X85="","",SUM(Journal!$X$2:X85))</f>
        <v/>
      </c>
      <c r="E85">
        <f>IF(D85="","",MAX(0,MAX($D$2:D85)))</f>
        <v/>
      </c>
      <c r="F85">
        <f>IF(D85="","",E85-D85)</f>
        <v/>
      </c>
    </row>
    <row r="86">
      <c r="D86">
        <f>IF(Journal!X86="","",SUM(Journal!$X$2:X86))</f>
        <v/>
      </c>
      <c r="E86">
        <f>IF(D86="","",MAX(0,MAX($D$2:D86)))</f>
        <v/>
      </c>
      <c r="F86">
        <f>IF(D86="","",E86-D86)</f>
        <v/>
      </c>
    </row>
    <row r="87">
      <c r="D87">
        <f>IF(Journal!X87="","",SUM(Journal!$X$2:X87))</f>
        <v/>
      </c>
      <c r="E87">
        <f>IF(D87="","",MAX(0,MAX($D$2:D87)))</f>
        <v/>
      </c>
      <c r="F87">
        <f>IF(D87="","",E87-D87)</f>
        <v/>
      </c>
    </row>
    <row r="88">
      <c r="D88">
        <f>IF(Journal!X88="","",SUM(Journal!$X$2:X88))</f>
        <v/>
      </c>
      <c r="E88">
        <f>IF(D88="","",MAX(0,MAX($D$2:D88)))</f>
        <v/>
      </c>
      <c r="F88">
        <f>IF(D88="","",E88-D88)</f>
        <v/>
      </c>
    </row>
    <row r="89">
      <c r="D89">
        <f>IF(Journal!X89="","",SUM(Journal!$X$2:X89))</f>
        <v/>
      </c>
      <c r="E89">
        <f>IF(D89="","",MAX(0,MAX($D$2:D89)))</f>
        <v/>
      </c>
      <c r="F89">
        <f>IF(D89="","",E89-D89)</f>
        <v/>
      </c>
    </row>
    <row r="90">
      <c r="D90">
        <f>IF(Journal!X90="","",SUM(Journal!$X$2:X90))</f>
        <v/>
      </c>
      <c r="E90">
        <f>IF(D90="","",MAX(0,MAX($D$2:D90)))</f>
        <v/>
      </c>
      <c r="F90">
        <f>IF(D90="","",E90-D90)</f>
        <v/>
      </c>
    </row>
    <row r="91">
      <c r="D91">
        <f>IF(Journal!X91="","",SUM(Journal!$X$2:X91))</f>
        <v/>
      </c>
      <c r="E91">
        <f>IF(D91="","",MAX(0,MAX($D$2:D91)))</f>
        <v/>
      </c>
      <c r="F91">
        <f>IF(D91="","",E91-D91)</f>
        <v/>
      </c>
    </row>
    <row r="92">
      <c r="D92">
        <f>IF(Journal!X92="","",SUM(Journal!$X$2:X92))</f>
        <v/>
      </c>
      <c r="E92">
        <f>IF(D92="","",MAX(0,MAX($D$2:D92)))</f>
        <v/>
      </c>
      <c r="F92">
        <f>IF(D92="","",E92-D92)</f>
        <v/>
      </c>
    </row>
    <row r="93">
      <c r="D93">
        <f>IF(Journal!X93="","",SUM(Journal!$X$2:X93))</f>
        <v/>
      </c>
      <c r="E93">
        <f>IF(D93="","",MAX(0,MAX($D$2:D93)))</f>
        <v/>
      </c>
      <c r="F93">
        <f>IF(D93="","",E93-D93)</f>
        <v/>
      </c>
    </row>
    <row r="94">
      <c r="D94">
        <f>IF(Journal!X94="","",SUM(Journal!$X$2:X94))</f>
        <v/>
      </c>
      <c r="E94">
        <f>IF(D94="","",MAX(0,MAX($D$2:D94)))</f>
        <v/>
      </c>
      <c r="F94">
        <f>IF(D94="","",E94-D94)</f>
        <v/>
      </c>
    </row>
    <row r="95">
      <c r="D95">
        <f>IF(Journal!X95="","",SUM(Journal!$X$2:X95))</f>
        <v/>
      </c>
      <c r="E95">
        <f>IF(D95="","",MAX(0,MAX($D$2:D95)))</f>
        <v/>
      </c>
      <c r="F95">
        <f>IF(D95="","",E95-D95)</f>
        <v/>
      </c>
    </row>
    <row r="96">
      <c r="D96">
        <f>IF(Journal!X96="","",SUM(Journal!$X$2:X96))</f>
        <v/>
      </c>
      <c r="E96">
        <f>IF(D96="","",MAX(0,MAX($D$2:D96)))</f>
        <v/>
      </c>
      <c r="F96">
        <f>IF(D96="","",E96-D96)</f>
        <v/>
      </c>
    </row>
    <row r="97">
      <c r="D97">
        <f>IF(Journal!X97="","",SUM(Journal!$X$2:X97))</f>
        <v/>
      </c>
      <c r="E97">
        <f>IF(D97="","",MAX(0,MAX($D$2:D97)))</f>
        <v/>
      </c>
      <c r="F97">
        <f>IF(D97="","",E97-D97)</f>
        <v/>
      </c>
    </row>
    <row r="98">
      <c r="D98">
        <f>IF(Journal!X98="","",SUM(Journal!$X$2:X98))</f>
        <v/>
      </c>
      <c r="E98">
        <f>IF(D98="","",MAX(0,MAX($D$2:D98)))</f>
        <v/>
      </c>
      <c r="F98">
        <f>IF(D98="","",E98-D98)</f>
        <v/>
      </c>
    </row>
    <row r="99">
      <c r="D99">
        <f>IF(Journal!X99="","",SUM(Journal!$X$2:X99))</f>
        <v/>
      </c>
      <c r="E99">
        <f>IF(D99="","",MAX(0,MAX($D$2:D99)))</f>
        <v/>
      </c>
      <c r="F99">
        <f>IF(D99="","",E99-D99)</f>
        <v/>
      </c>
    </row>
    <row r="100">
      <c r="D100">
        <f>IF(Journal!X100="","",SUM(Journal!$X$2:X100))</f>
        <v/>
      </c>
      <c r="E100">
        <f>IF(D100="","",MAX(0,MAX($D$2:D100)))</f>
        <v/>
      </c>
      <c r="F100">
        <f>IF(D100="","",E100-D100)</f>
        <v/>
      </c>
    </row>
    <row r="101">
      <c r="D101">
        <f>IF(Journal!X101="","",SUM(Journal!$X$2:X101))</f>
        <v/>
      </c>
      <c r="E101">
        <f>IF(D101="","",MAX(0,MAX($D$2:D101)))</f>
        <v/>
      </c>
      <c r="F101">
        <f>IF(D101="","",E101-D101)</f>
        <v/>
      </c>
    </row>
    <row r="102">
      <c r="D102">
        <f>IF(Journal!X102="","",SUM(Journal!$X$2:X102))</f>
        <v/>
      </c>
      <c r="E102">
        <f>IF(D102="","",MAX(0,MAX($D$2:D102)))</f>
        <v/>
      </c>
      <c r="F102">
        <f>IF(D102="","",E102-D102)</f>
        <v/>
      </c>
    </row>
    <row r="103">
      <c r="D103">
        <f>IF(Journal!X103="","",SUM(Journal!$X$2:X103))</f>
        <v/>
      </c>
      <c r="E103">
        <f>IF(D103="","",MAX(0,MAX($D$2:D103)))</f>
        <v/>
      </c>
      <c r="F103">
        <f>IF(D103="","",E103-D103)</f>
        <v/>
      </c>
    </row>
    <row r="104">
      <c r="D104">
        <f>IF(Journal!X104="","",SUM(Journal!$X$2:X104))</f>
        <v/>
      </c>
      <c r="E104">
        <f>IF(D104="","",MAX(0,MAX($D$2:D104)))</f>
        <v/>
      </c>
      <c r="F104">
        <f>IF(D104="","",E104-D104)</f>
        <v/>
      </c>
    </row>
    <row r="105">
      <c r="D105">
        <f>IF(Journal!X105="","",SUM(Journal!$X$2:X105))</f>
        <v/>
      </c>
      <c r="E105">
        <f>IF(D105="","",MAX(0,MAX($D$2:D105)))</f>
        <v/>
      </c>
      <c r="F105">
        <f>IF(D105="","",E105-D105)</f>
        <v/>
      </c>
    </row>
    <row r="106">
      <c r="D106">
        <f>IF(Journal!X106="","",SUM(Journal!$X$2:X106))</f>
        <v/>
      </c>
      <c r="E106">
        <f>IF(D106="","",MAX(0,MAX($D$2:D106)))</f>
        <v/>
      </c>
      <c r="F106">
        <f>IF(D106="","",E106-D106)</f>
        <v/>
      </c>
    </row>
    <row r="107">
      <c r="D107">
        <f>IF(Journal!X107="","",SUM(Journal!$X$2:X107))</f>
        <v/>
      </c>
      <c r="E107">
        <f>IF(D107="","",MAX(0,MAX($D$2:D107)))</f>
        <v/>
      </c>
      <c r="F107">
        <f>IF(D107="","",E107-D107)</f>
        <v/>
      </c>
    </row>
    <row r="108">
      <c r="D108">
        <f>IF(Journal!X108="","",SUM(Journal!$X$2:X108))</f>
        <v/>
      </c>
      <c r="E108">
        <f>IF(D108="","",MAX(0,MAX($D$2:D108)))</f>
        <v/>
      </c>
      <c r="F108">
        <f>IF(D108="","",E108-D108)</f>
        <v/>
      </c>
    </row>
    <row r="109">
      <c r="D109">
        <f>IF(Journal!X109="","",SUM(Journal!$X$2:X109))</f>
        <v/>
      </c>
      <c r="E109">
        <f>IF(D109="","",MAX(0,MAX($D$2:D109)))</f>
        <v/>
      </c>
      <c r="F109">
        <f>IF(D109="","",E109-D109)</f>
        <v/>
      </c>
    </row>
    <row r="110">
      <c r="D110">
        <f>IF(Journal!X110="","",SUM(Journal!$X$2:X110))</f>
        <v/>
      </c>
      <c r="E110">
        <f>IF(D110="","",MAX(0,MAX($D$2:D110)))</f>
        <v/>
      </c>
      <c r="F110">
        <f>IF(D110="","",E110-D110)</f>
        <v/>
      </c>
    </row>
    <row r="111">
      <c r="D111">
        <f>IF(Journal!X111="","",SUM(Journal!$X$2:X111))</f>
        <v/>
      </c>
      <c r="E111">
        <f>IF(D111="","",MAX(0,MAX($D$2:D111)))</f>
        <v/>
      </c>
      <c r="F111">
        <f>IF(D111="","",E111-D111)</f>
        <v/>
      </c>
    </row>
    <row r="112">
      <c r="D112">
        <f>IF(Journal!X112="","",SUM(Journal!$X$2:X112))</f>
        <v/>
      </c>
      <c r="E112">
        <f>IF(D112="","",MAX(0,MAX($D$2:D112)))</f>
        <v/>
      </c>
      <c r="F112">
        <f>IF(D112="","",E112-D112)</f>
        <v/>
      </c>
    </row>
    <row r="113">
      <c r="D113">
        <f>IF(Journal!X113="","",SUM(Journal!$X$2:X113))</f>
        <v/>
      </c>
      <c r="E113">
        <f>IF(D113="","",MAX(0,MAX($D$2:D113)))</f>
        <v/>
      </c>
      <c r="F113">
        <f>IF(D113="","",E113-D113)</f>
        <v/>
      </c>
    </row>
    <row r="114">
      <c r="D114">
        <f>IF(Journal!X114="","",SUM(Journal!$X$2:X114))</f>
        <v/>
      </c>
      <c r="E114">
        <f>IF(D114="","",MAX(0,MAX($D$2:D114)))</f>
        <v/>
      </c>
      <c r="F114">
        <f>IF(D114="","",E114-D114)</f>
        <v/>
      </c>
    </row>
    <row r="115">
      <c r="D115">
        <f>IF(Journal!X115="","",SUM(Journal!$X$2:X115))</f>
        <v/>
      </c>
      <c r="E115">
        <f>IF(D115="","",MAX(0,MAX($D$2:D115)))</f>
        <v/>
      </c>
      <c r="F115">
        <f>IF(D115="","",E115-D115)</f>
        <v/>
      </c>
    </row>
    <row r="116">
      <c r="D116">
        <f>IF(Journal!X116="","",SUM(Journal!$X$2:X116))</f>
        <v/>
      </c>
      <c r="E116">
        <f>IF(D116="","",MAX(0,MAX($D$2:D116)))</f>
        <v/>
      </c>
      <c r="F116">
        <f>IF(D116="","",E116-D116)</f>
        <v/>
      </c>
    </row>
    <row r="117">
      <c r="D117">
        <f>IF(Journal!X117="","",SUM(Journal!$X$2:X117))</f>
        <v/>
      </c>
      <c r="E117">
        <f>IF(D117="","",MAX(0,MAX($D$2:D117)))</f>
        <v/>
      </c>
      <c r="F117">
        <f>IF(D117="","",E117-D117)</f>
        <v/>
      </c>
    </row>
    <row r="118">
      <c r="D118">
        <f>IF(Journal!X118="","",SUM(Journal!$X$2:X118))</f>
        <v/>
      </c>
      <c r="E118">
        <f>IF(D118="","",MAX(0,MAX($D$2:D118)))</f>
        <v/>
      </c>
      <c r="F118">
        <f>IF(D118="","",E118-D118)</f>
        <v/>
      </c>
    </row>
    <row r="119">
      <c r="D119">
        <f>IF(Journal!X119="","",SUM(Journal!$X$2:X119))</f>
        <v/>
      </c>
      <c r="E119">
        <f>IF(D119="","",MAX(0,MAX($D$2:D119)))</f>
        <v/>
      </c>
      <c r="F119">
        <f>IF(D119="","",E119-D119)</f>
        <v/>
      </c>
    </row>
    <row r="120">
      <c r="D120">
        <f>IF(Journal!X120="","",SUM(Journal!$X$2:X120))</f>
        <v/>
      </c>
      <c r="E120">
        <f>IF(D120="","",MAX(0,MAX($D$2:D120)))</f>
        <v/>
      </c>
      <c r="F120">
        <f>IF(D120="","",E120-D120)</f>
        <v/>
      </c>
    </row>
    <row r="121">
      <c r="D121">
        <f>IF(Journal!X121="","",SUM(Journal!$X$2:X121))</f>
        <v/>
      </c>
      <c r="E121">
        <f>IF(D121="","",MAX(0,MAX($D$2:D121)))</f>
        <v/>
      </c>
      <c r="F121">
        <f>IF(D121="","",E121-D121)</f>
        <v/>
      </c>
    </row>
    <row r="122">
      <c r="D122">
        <f>IF(Journal!X122="","",SUM(Journal!$X$2:X122))</f>
        <v/>
      </c>
      <c r="E122">
        <f>IF(D122="","",MAX(0,MAX($D$2:D122)))</f>
        <v/>
      </c>
      <c r="F122">
        <f>IF(D122="","",E122-D122)</f>
        <v/>
      </c>
    </row>
    <row r="123">
      <c r="D123">
        <f>IF(Journal!X123="","",SUM(Journal!$X$2:X123))</f>
        <v/>
      </c>
      <c r="E123">
        <f>IF(D123="","",MAX(0,MAX($D$2:D123)))</f>
        <v/>
      </c>
      <c r="F123">
        <f>IF(D123="","",E123-D123)</f>
        <v/>
      </c>
    </row>
    <row r="124">
      <c r="D124">
        <f>IF(Journal!X124="","",SUM(Journal!$X$2:X124))</f>
        <v/>
      </c>
      <c r="E124">
        <f>IF(D124="","",MAX(0,MAX($D$2:D124)))</f>
        <v/>
      </c>
      <c r="F124">
        <f>IF(D124="","",E124-D124)</f>
        <v/>
      </c>
    </row>
    <row r="125">
      <c r="D125">
        <f>IF(Journal!X125="","",SUM(Journal!$X$2:X125))</f>
        <v/>
      </c>
      <c r="E125">
        <f>IF(D125="","",MAX(0,MAX($D$2:D125)))</f>
        <v/>
      </c>
      <c r="F125">
        <f>IF(D125="","",E125-D125)</f>
        <v/>
      </c>
    </row>
    <row r="126">
      <c r="D126">
        <f>IF(Journal!X126="","",SUM(Journal!$X$2:X126))</f>
        <v/>
      </c>
      <c r="E126">
        <f>IF(D126="","",MAX(0,MAX($D$2:D126)))</f>
        <v/>
      </c>
      <c r="F126">
        <f>IF(D126="","",E126-D126)</f>
        <v/>
      </c>
    </row>
    <row r="127">
      <c r="D127">
        <f>IF(Journal!X127="","",SUM(Journal!$X$2:X127))</f>
        <v/>
      </c>
      <c r="E127">
        <f>IF(D127="","",MAX(0,MAX($D$2:D127)))</f>
        <v/>
      </c>
      <c r="F127">
        <f>IF(D127="","",E127-D127)</f>
        <v/>
      </c>
    </row>
    <row r="128">
      <c r="D128">
        <f>IF(Journal!X128="","",SUM(Journal!$X$2:X128))</f>
        <v/>
      </c>
      <c r="E128">
        <f>IF(D128="","",MAX(0,MAX($D$2:D128)))</f>
        <v/>
      </c>
      <c r="F128">
        <f>IF(D128="","",E128-D128)</f>
        <v/>
      </c>
    </row>
    <row r="129">
      <c r="D129">
        <f>IF(Journal!X129="","",SUM(Journal!$X$2:X129))</f>
        <v/>
      </c>
      <c r="E129">
        <f>IF(D129="","",MAX(0,MAX($D$2:D129)))</f>
        <v/>
      </c>
      <c r="F129">
        <f>IF(D129="","",E129-D129)</f>
        <v/>
      </c>
    </row>
    <row r="130">
      <c r="D130">
        <f>IF(Journal!X130="","",SUM(Journal!$X$2:X130))</f>
        <v/>
      </c>
      <c r="E130">
        <f>IF(D130="","",MAX(0,MAX($D$2:D130)))</f>
        <v/>
      </c>
      <c r="F130">
        <f>IF(D130="","",E130-D130)</f>
        <v/>
      </c>
    </row>
    <row r="131">
      <c r="D131">
        <f>IF(Journal!X131="","",SUM(Journal!$X$2:X131))</f>
        <v/>
      </c>
      <c r="E131">
        <f>IF(D131="","",MAX(0,MAX($D$2:D131)))</f>
        <v/>
      </c>
      <c r="F131">
        <f>IF(D131="","",E131-D131)</f>
        <v/>
      </c>
    </row>
    <row r="132">
      <c r="D132">
        <f>IF(Journal!X132="","",SUM(Journal!$X$2:X132))</f>
        <v/>
      </c>
      <c r="E132">
        <f>IF(D132="","",MAX(0,MAX($D$2:D132)))</f>
        <v/>
      </c>
      <c r="F132">
        <f>IF(D132="","",E132-D132)</f>
        <v/>
      </c>
    </row>
    <row r="133">
      <c r="D133">
        <f>IF(Journal!X133="","",SUM(Journal!$X$2:X133))</f>
        <v/>
      </c>
      <c r="E133">
        <f>IF(D133="","",MAX(0,MAX($D$2:D133)))</f>
        <v/>
      </c>
      <c r="F133">
        <f>IF(D133="","",E133-D133)</f>
        <v/>
      </c>
    </row>
    <row r="134">
      <c r="D134">
        <f>IF(Journal!X134="","",SUM(Journal!$X$2:X134))</f>
        <v/>
      </c>
      <c r="E134">
        <f>IF(D134="","",MAX(0,MAX($D$2:D134)))</f>
        <v/>
      </c>
      <c r="F134">
        <f>IF(D134="","",E134-D134)</f>
        <v/>
      </c>
    </row>
    <row r="135">
      <c r="D135">
        <f>IF(Journal!X135="","",SUM(Journal!$X$2:X135))</f>
        <v/>
      </c>
      <c r="E135">
        <f>IF(D135="","",MAX(0,MAX($D$2:D135)))</f>
        <v/>
      </c>
      <c r="F135">
        <f>IF(D135="","",E135-D135)</f>
        <v/>
      </c>
    </row>
    <row r="136">
      <c r="D136">
        <f>IF(Journal!X136="","",SUM(Journal!$X$2:X136))</f>
        <v/>
      </c>
      <c r="E136">
        <f>IF(D136="","",MAX(0,MAX($D$2:D136)))</f>
        <v/>
      </c>
      <c r="F136">
        <f>IF(D136="","",E136-D136)</f>
        <v/>
      </c>
    </row>
    <row r="137">
      <c r="D137">
        <f>IF(Journal!X137="","",SUM(Journal!$X$2:X137))</f>
        <v/>
      </c>
      <c r="E137">
        <f>IF(D137="","",MAX(0,MAX($D$2:D137)))</f>
        <v/>
      </c>
      <c r="F137">
        <f>IF(D137="","",E137-D137)</f>
        <v/>
      </c>
    </row>
    <row r="138">
      <c r="D138">
        <f>IF(Journal!X138="","",SUM(Journal!$X$2:X138))</f>
        <v/>
      </c>
      <c r="E138">
        <f>IF(D138="","",MAX(0,MAX($D$2:D138)))</f>
        <v/>
      </c>
      <c r="F138">
        <f>IF(D138="","",E138-D138)</f>
        <v/>
      </c>
    </row>
    <row r="139">
      <c r="D139">
        <f>IF(Journal!X139="","",SUM(Journal!$X$2:X139))</f>
        <v/>
      </c>
      <c r="E139">
        <f>IF(D139="","",MAX(0,MAX($D$2:D139)))</f>
        <v/>
      </c>
      <c r="F139">
        <f>IF(D139="","",E139-D139)</f>
        <v/>
      </c>
    </row>
    <row r="140">
      <c r="D140">
        <f>IF(Journal!X140="","",SUM(Journal!$X$2:X140))</f>
        <v/>
      </c>
      <c r="E140">
        <f>IF(D140="","",MAX(0,MAX($D$2:D140)))</f>
        <v/>
      </c>
      <c r="F140">
        <f>IF(D140="","",E140-D140)</f>
        <v/>
      </c>
    </row>
    <row r="141">
      <c r="D141">
        <f>IF(Journal!X141="","",SUM(Journal!$X$2:X141))</f>
        <v/>
      </c>
      <c r="E141">
        <f>IF(D141="","",MAX(0,MAX($D$2:D141)))</f>
        <v/>
      </c>
      <c r="F141">
        <f>IF(D141="","",E141-D141)</f>
        <v/>
      </c>
    </row>
    <row r="142">
      <c r="D142">
        <f>IF(Journal!X142="","",SUM(Journal!$X$2:X142))</f>
        <v/>
      </c>
      <c r="E142">
        <f>IF(D142="","",MAX(0,MAX($D$2:D142)))</f>
        <v/>
      </c>
      <c r="F142">
        <f>IF(D142="","",E142-D142)</f>
        <v/>
      </c>
    </row>
    <row r="143">
      <c r="D143">
        <f>IF(Journal!X143="","",SUM(Journal!$X$2:X143))</f>
        <v/>
      </c>
      <c r="E143">
        <f>IF(D143="","",MAX(0,MAX($D$2:D143)))</f>
        <v/>
      </c>
      <c r="F143">
        <f>IF(D143="","",E143-D143)</f>
        <v/>
      </c>
    </row>
    <row r="144">
      <c r="D144">
        <f>IF(Journal!X144="","",SUM(Journal!$X$2:X144))</f>
        <v/>
      </c>
      <c r="E144">
        <f>IF(D144="","",MAX(0,MAX($D$2:D144)))</f>
        <v/>
      </c>
      <c r="F144">
        <f>IF(D144="","",E144-D144)</f>
        <v/>
      </c>
    </row>
    <row r="145">
      <c r="D145">
        <f>IF(Journal!X145="","",SUM(Journal!$X$2:X145))</f>
        <v/>
      </c>
      <c r="E145">
        <f>IF(D145="","",MAX(0,MAX($D$2:D145)))</f>
        <v/>
      </c>
      <c r="F145">
        <f>IF(D145="","",E145-D145)</f>
        <v/>
      </c>
    </row>
    <row r="146">
      <c r="D146">
        <f>IF(Journal!X146="","",SUM(Journal!$X$2:X146))</f>
        <v/>
      </c>
      <c r="E146">
        <f>IF(D146="","",MAX(0,MAX($D$2:D146)))</f>
        <v/>
      </c>
      <c r="F146">
        <f>IF(D146="","",E146-D146)</f>
        <v/>
      </c>
    </row>
    <row r="147">
      <c r="D147">
        <f>IF(Journal!X147="","",SUM(Journal!$X$2:X147))</f>
        <v/>
      </c>
      <c r="E147">
        <f>IF(D147="","",MAX(0,MAX($D$2:D147)))</f>
        <v/>
      </c>
      <c r="F147">
        <f>IF(D147="","",E147-D147)</f>
        <v/>
      </c>
    </row>
    <row r="148">
      <c r="D148">
        <f>IF(Journal!X148="","",SUM(Journal!$X$2:X148))</f>
        <v/>
      </c>
      <c r="E148">
        <f>IF(D148="","",MAX(0,MAX($D$2:D148)))</f>
        <v/>
      </c>
      <c r="F148">
        <f>IF(D148="","",E148-D148)</f>
        <v/>
      </c>
    </row>
    <row r="149">
      <c r="D149">
        <f>IF(Journal!X149="","",SUM(Journal!$X$2:X149))</f>
        <v/>
      </c>
      <c r="E149">
        <f>IF(D149="","",MAX(0,MAX($D$2:D149)))</f>
        <v/>
      </c>
      <c r="F149">
        <f>IF(D149="","",E149-D149)</f>
        <v/>
      </c>
    </row>
    <row r="150">
      <c r="D150">
        <f>IF(Journal!X150="","",SUM(Journal!$X$2:X150))</f>
        <v/>
      </c>
      <c r="E150">
        <f>IF(D150="","",MAX(0,MAX($D$2:D150)))</f>
        <v/>
      </c>
      <c r="F150">
        <f>IF(D150="","",E150-D150)</f>
        <v/>
      </c>
    </row>
    <row r="151">
      <c r="D151">
        <f>IF(Journal!X151="","",SUM(Journal!$X$2:X151))</f>
        <v/>
      </c>
      <c r="E151">
        <f>IF(D151="","",MAX(0,MAX($D$2:D151)))</f>
        <v/>
      </c>
      <c r="F151">
        <f>IF(D151="","",E151-D151)</f>
        <v/>
      </c>
    </row>
    <row r="152">
      <c r="D152">
        <f>IF(Journal!X152="","",SUM(Journal!$X$2:X152))</f>
        <v/>
      </c>
      <c r="E152">
        <f>IF(D152="","",MAX(0,MAX($D$2:D152)))</f>
        <v/>
      </c>
      <c r="F152">
        <f>IF(D152="","",E152-D152)</f>
        <v/>
      </c>
    </row>
    <row r="153">
      <c r="D153">
        <f>IF(Journal!X153="","",SUM(Journal!$X$2:X153))</f>
        <v/>
      </c>
      <c r="E153">
        <f>IF(D153="","",MAX(0,MAX($D$2:D153)))</f>
        <v/>
      </c>
      <c r="F153">
        <f>IF(D153="","",E153-D153)</f>
        <v/>
      </c>
    </row>
    <row r="154">
      <c r="D154">
        <f>IF(Journal!X154="","",SUM(Journal!$X$2:X154))</f>
        <v/>
      </c>
      <c r="E154">
        <f>IF(D154="","",MAX(0,MAX($D$2:D154)))</f>
        <v/>
      </c>
      <c r="F154">
        <f>IF(D154="","",E154-D154)</f>
        <v/>
      </c>
    </row>
    <row r="155">
      <c r="D155">
        <f>IF(Journal!X155="","",SUM(Journal!$X$2:X155))</f>
        <v/>
      </c>
      <c r="E155">
        <f>IF(D155="","",MAX(0,MAX($D$2:D155)))</f>
        <v/>
      </c>
      <c r="F155">
        <f>IF(D155="","",E155-D155)</f>
        <v/>
      </c>
    </row>
    <row r="156">
      <c r="D156">
        <f>IF(Journal!X156="","",SUM(Journal!$X$2:X156))</f>
        <v/>
      </c>
      <c r="E156">
        <f>IF(D156="","",MAX(0,MAX($D$2:D156)))</f>
        <v/>
      </c>
      <c r="F156">
        <f>IF(D156="","",E156-D156)</f>
        <v/>
      </c>
    </row>
    <row r="157">
      <c r="D157">
        <f>IF(Journal!X157="","",SUM(Journal!$X$2:X157))</f>
        <v/>
      </c>
      <c r="E157">
        <f>IF(D157="","",MAX(0,MAX($D$2:D157)))</f>
        <v/>
      </c>
      <c r="F157">
        <f>IF(D157="","",E157-D157)</f>
        <v/>
      </c>
    </row>
    <row r="158">
      <c r="D158">
        <f>IF(Journal!X158="","",SUM(Journal!$X$2:X158))</f>
        <v/>
      </c>
      <c r="E158">
        <f>IF(D158="","",MAX(0,MAX($D$2:D158)))</f>
        <v/>
      </c>
      <c r="F158">
        <f>IF(D158="","",E158-D158)</f>
        <v/>
      </c>
    </row>
    <row r="159">
      <c r="D159">
        <f>IF(Journal!X159="","",SUM(Journal!$X$2:X159))</f>
        <v/>
      </c>
      <c r="E159">
        <f>IF(D159="","",MAX(0,MAX($D$2:D159)))</f>
        <v/>
      </c>
      <c r="F159">
        <f>IF(D159="","",E159-D159)</f>
        <v/>
      </c>
    </row>
    <row r="160">
      <c r="D160">
        <f>IF(Journal!X160="","",SUM(Journal!$X$2:X160))</f>
        <v/>
      </c>
      <c r="E160">
        <f>IF(D160="","",MAX(0,MAX($D$2:D160)))</f>
        <v/>
      </c>
      <c r="F160">
        <f>IF(D160="","",E160-D160)</f>
        <v/>
      </c>
    </row>
    <row r="161">
      <c r="D161">
        <f>IF(Journal!X161="","",SUM(Journal!$X$2:X161))</f>
        <v/>
      </c>
      <c r="E161">
        <f>IF(D161="","",MAX(0,MAX($D$2:D161)))</f>
        <v/>
      </c>
      <c r="F161">
        <f>IF(D161="","",E161-D161)</f>
        <v/>
      </c>
    </row>
    <row r="162">
      <c r="D162">
        <f>IF(Journal!X162="","",SUM(Journal!$X$2:X162))</f>
        <v/>
      </c>
      <c r="E162">
        <f>IF(D162="","",MAX(0,MAX($D$2:D162)))</f>
        <v/>
      </c>
      <c r="F162">
        <f>IF(D162="","",E162-D162)</f>
        <v/>
      </c>
    </row>
    <row r="163">
      <c r="D163">
        <f>IF(Journal!X163="","",SUM(Journal!$X$2:X163))</f>
        <v/>
      </c>
      <c r="E163">
        <f>IF(D163="","",MAX(0,MAX($D$2:D163)))</f>
        <v/>
      </c>
      <c r="F163">
        <f>IF(D163="","",E163-D163)</f>
        <v/>
      </c>
    </row>
    <row r="164">
      <c r="D164">
        <f>IF(Journal!X164="","",SUM(Journal!$X$2:X164))</f>
        <v/>
      </c>
      <c r="E164">
        <f>IF(D164="","",MAX(0,MAX($D$2:D164)))</f>
        <v/>
      </c>
      <c r="F164">
        <f>IF(D164="","",E164-D164)</f>
        <v/>
      </c>
    </row>
    <row r="165">
      <c r="D165">
        <f>IF(Journal!X165="","",SUM(Journal!$X$2:X165))</f>
        <v/>
      </c>
      <c r="E165">
        <f>IF(D165="","",MAX(0,MAX($D$2:D165)))</f>
        <v/>
      </c>
      <c r="F165">
        <f>IF(D165="","",E165-D165)</f>
        <v/>
      </c>
    </row>
    <row r="166">
      <c r="D166">
        <f>IF(Journal!X166="","",SUM(Journal!$X$2:X166))</f>
        <v/>
      </c>
      <c r="E166">
        <f>IF(D166="","",MAX(0,MAX($D$2:D166)))</f>
        <v/>
      </c>
      <c r="F166">
        <f>IF(D166="","",E166-D166)</f>
        <v/>
      </c>
    </row>
    <row r="167">
      <c r="D167">
        <f>IF(Journal!X167="","",SUM(Journal!$X$2:X167))</f>
        <v/>
      </c>
      <c r="E167">
        <f>IF(D167="","",MAX(0,MAX($D$2:D167)))</f>
        <v/>
      </c>
      <c r="F167">
        <f>IF(D167="","",E167-D167)</f>
        <v/>
      </c>
    </row>
    <row r="168">
      <c r="D168">
        <f>IF(Journal!X168="","",SUM(Journal!$X$2:X168))</f>
        <v/>
      </c>
      <c r="E168">
        <f>IF(D168="","",MAX(0,MAX($D$2:D168)))</f>
        <v/>
      </c>
      <c r="F168">
        <f>IF(D168="","",E168-D168)</f>
        <v/>
      </c>
    </row>
    <row r="169">
      <c r="D169">
        <f>IF(Journal!X169="","",SUM(Journal!$X$2:X169))</f>
        <v/>
      </c>
      <c r="E169">
        <f>IF(D169="","",MAX(0,MAX($D$2:D169)))</f>
        <v/>
      </c>
      <c r="F169">
        <f>IF(D169="","",E169-D169)</f>
        <v/>
      </c>
    </row>
    <row r="170">
      <c r="D170">
        <f>IF(Journal!X170="","",SUM(Journal!$X$2:X170))</f>
        <v/>
      </c>
      <c r="E170">
        <f>IF(D170="","",MAX(0,MAX($D$2:D170)))</f>
        <v/>
      </c>
      <c r="F170">
        <f>IF(D170="","",E170-D170)</f>
        <v/>
      </c>
    </row>
    <row r="171">
      <c r="D171">
        <f>IF(Journal!X171="","",SUM(Journal!$X$2:X171))</f>
        <v/>
      </c>
      <c r="E171">
        <f>IF(D171="","",MAX(0,MAX($D$2:D171)))</f>
        <v/>
      </c>
      <c r="F171">
        <f>IF(D171="","",E171-D171)</f>
        <v/>
      </c>
    </row>
    <row r="172">
      <c r="D172">
        <f>IF(Journal!X172="","",SUM(Journal!$X$2:X172))</f>
        <v/>
      </c>
      <c r="E172">
        <f>IF(D172="","",MAX(0,MAX($D$2:D172)))</f>
        <v/>
      </c>
      <c r="F172">
        <f>IF(D172="","",E172-D172)</f>
        <v/>
      </c>
    </row>
    <row r="173">
      <c r="D173">
        <f>IF(Journal!X173="","",SUM(Journal!$X$2:X173))</f>
        <v/>
      </c>
      <c r="E173">
        <f>IF(D173="","",MAX(0,MAX($D$2:D173)))</f>
        <v/>
      </c>
      <c r="F173">
        <f>IF(D173="","",E173-D173)</f>
        <v/>
      </c>
    </row>
    <row r="174">
      <c r="D174">
        <f>IF(Journal!X174="","",SUM(Journal!$X$2:X174))</f>
        <v/>
      </c>
      <c r="E174">
        <f>IF(D174="","",MAX(0,MAX($D$2:D174)))</f>
        <v/>
      </c>
      <c r="F174">
        <f>IF(D174="","",E174-D174)</f>
        <v/>
      </c>
    </row>
    <row r="175">
      <c r="D175">
        <f>IF(Journal!X175="","",SUM(Journal!$X$2:X175))</f>
        <v/>
      </c>
      <c r="E175">
        <f>IF(D175="","",MAX(0,MAX($D$2:D175)))</f>
        <v/>
      </c>
      <c r="F175">
        <f>IF(D175="","",E175-D175)</f>
        <v/>
      </c>
    </row>
    <row r="176">
      <c r="D176">
        <f>IF(Journal!X176="","",SUM(Journal!$X$2:X176))</f>
        <v/>
      </c>
      <c r="E176">
        <f>IF(D176="","",MAX(0,MAX($D$2:D176)))</f>
        <v/>
      </c>
      <c r="F176">
        <f>IF(D176="","",E176-D176)</f>
        <v/>
      </c>
    </row>
    <row r="177">
      <c r="D177">
        <f>IF(Journal!X177="","",SUM(Journal!$X$2:X177))</f>
        <v/>
      </c>
      <c r="E177">
        <f>IF(D177="","",MAX(0,MAX($D$2:D177)))</f>
        <v/>
      </c>
      <c r="F177">
        <f>IF(D177="","",E177-D177)</f>
        <v/>
      </c>
    </row>
    <row r="178">
      <c r="D178">
        <f>IF(Journal!X178="","",SUM(Journal!$X$2:X178))</f>
        <v/>
      </c>
      <c r="E178">
        <f>IF(D178="","",MAX(0,MAX($D$2:D178)))</f>
        <v/>
      </c>
      <c r="F178">
        <f>IF(D178="","",E178-D178)</f>
        <v/>
      </c>
    </row>
    <row r="179">
      <c r="D179">
        <f>IF(Journal!X179="","",SUM(Journal!$X$2:X179))</f>
        <v/>
      </c>
      <c r="E179">
        <f>IF(D179="","",MAX(0,MAX($D$2:D179)))</f>
        <v/>
      </c>
      <c r="F179">
        <f>IF(D179="","",E179-D179)</f>
        <v/>
      </c>
    </row>
    <row r="180">
      <c r="D180">
        <f>IF(Journal!X180="","",SUM(Journal!$X$2:X180))</f>
        <v/>
      </c>
      <c r="E180">
        <f>IF(D180="","",MAX(0,MAX($D$2:D180)))</f>
        <v/>
      </c>
      <c r="F180">
        <f>IF(D180="","",E180-D180)</f>
        <v/>
      </c>
    </row>
    <row r="181">
      <c r="D181">
        <f>IF(Journal!X181="","",SUM(Journal!$X$2:X181))</f>
        <v/>
      </c>
      <c r="E181">
        <f>IF(D181="","",MAX(0,MAX($D$2:D181)))</f>
        <v/>
      </c>
      <c r="F181">
        <f>IF(D181="","",E181-D181)</f>
        <v/>
      </c>
    </row>
    <row r="182">
      <c r="D182">
        <f>IF(Journal!X182="","",SUM(Journal!$X$2:X182))</f>
        <v/>
      </c>
      <c r="E182">
        <f>IF(D182="","",MAX(0,MAX($D$2:D182)))</f>
        <v/>
      </c>
      <c r="F182">
        <f>IF(D182="","",E182-D182)</f>
        <v/>
      </c>
    </row>
    <row r="183">
      <c r="D183">
        <f>IF(Journal!X183="","",SUM(Journal!$X$2:X183))</f>
        <v/>
      </c>
      <c r="E183">
        <f>IF(D183="","",MAX(0,MAX($D$2:D183)))</f>
        <v/>
      </c>
      <c r="F183">
        <f>IF(D183="","",E183-D183)</f>
        <v/>
      </c>
    </row>
    <row r="184">
      <c r="D184">
        <f>IF(Journal!X184="","",SUM(Journal!$X$2:X184))</f>
        <v/>
      </c>
      <c r="E184">
        <f>IF(D184="","",MAX(0,MAX($D$2:D184)))</f>
        <v/>
      </c>
      <c r="F184">
        <f>IF(D184="","",E184-D184)</f>
        <v/>
      </c>
    </row>
    <row r="185">
      <c r="D185">
        <f>IF(Journal!X185="","",SUM(Journal!$X$2:X185))</f>
        <v/>
      </c>
      <c r="E185">
        <f>IF(D185="","",MAX(0,MAX($D$2:D185)))</f>
        <v/>
      </c>
      <c r="F185">
        <f>IF(D185="","",E185-D185)</f>
        <v/>
      </c>
    </row>
    <row r="186">
      <c r="D186">
        <f>IF(Journal!X186="","",SUM(Journal!$X$2:X186))</f>
        <v/>
      </c>
      <c r="E186">
        <f>IF(D186="","",MAX(0,MAX($D$2:D186)))</f>
        <v/>
      </c>
      <c r="F186">
        <f>IF(D186="","",E186-D186)</f>
        <v/>
      </c>
    </row>
    <row r="187">
      <c r="D187">
        <f>IF(Journal!X187="","",SUM(Journal!$X$2:X187))</f>
        <v/>
      </c>
      <c r="E187">
        <f>IF(D187="","",MAX(0,MAX($D$2:D187)))</f>
        <v/>
      </c>
      <c r="F187">
        <f>IF(D187="","",E187-D187)</f>
        <v/>
      </c>
    </row>
    <row r="188">
      <c r="D188">
        <f>IF(Journal!X188="","",SUM(Journal!$X$2:X188))</f>
        <v/>
      </c>
      <c r="E188">
        <f>IF(D188="","",MAX(0,MAX($D$2:D188)))</f>
        <v/>
      </c>
      <c r="F188">
        <f>IF(D188="","",E188-D188)</f>
        <v/>
      </c>
    </row>
    <row r="189">
      <c r="D189">
        <f>IF(Journal!X189="","",SUM(Journal!$X$2:X189))</f>
        <v/>
      </c>
      <c r="E189">
        <f>IF(D189="","",MAX(0,MAX($D$2:D189)))</f>
        <v/>
      </c>
      <c r="F189">
        <f>IF(D189="","",E189-D189)</f>
        <v/>
      </c>
    </row>
    <row r="190">
      <c r="D190">
        <f>IF(Journal!X190="","",SUM(Journal!$X$2:X190))</f>
        <v/>
      </c>
      <c r="E190">
        <f>IF(D190="","",MAX(0,MAX($D$2:D190)))</f>
        <v/>
      </c>
      <c r="F190">
        <f>IF(D190="","",E190-D190)</f>
        <v/>
      </c>
    </row>
    <row r="191">
      <c r="D191">
        <f>IF(Journal!X191="","",SUM(Journal!$X$2:X191))</f>
        <v/>
      </c>
      <c r="E191">
        <f>IF(D191="","",MAX(0,MAX($D$2:D191)))</f>
        <v/>
      </c>
      <c r="F191">
        <f>IF(D191="","",E191-D191)</f>
        <v/>
      </c>
    </row>
    <row r="192">
      <c r="D192">
        <f>IF(Journal!X192="","",SUM(Journal!$X$2:X192))</f>
        <v/>
      </c>
      <c r="E192">
        <f>IF(D192="","",MAX(0,MAX($D$2:D192)))</f>
        <v/>
      </c>
      <c r="F192">
        <f>IF(D192="","",E192-D192)</f>
        <v/>
      </c>
    </row>
    <row r="193">
      <c r="D193">
        <f>IF(Journal!X193="","",SUM(Journal!$X$2:X193))</f>
        <v/>
      </c>
      <c r="E193">
        <f>IF(D193="","",MAX(0,MAX($D$2:D193)))</f>
        <v/>
      </c>
      <c r="F193">
        <f>IF(D193="","",E193-D193)</f>
        <v/>
      </c>
    </row>
    <row r="194">
      <c r="D194">
        <f>IF(Journal!X194="","",SUM(Journal!$X$2:X194))</f>
        <v/>
      </c>
      <c r="E194">
        <f>IF(D194="","",MAX(0,MAX($D$2:D194)))</f>
        <v/>
      </c>
      <c r="F194">
        <f>IF(D194="","",E194-D194)</f>
        <v/>
      </c>
    </row>
    <row r="195">
      <c r="D195">
        <f>IF(Journal!X195="","",SUM(Journal!$X$2:X195))</f>
        <v/>
      </c>
      <c r="E195">
        <f>IF(D195="","",MAX(0,MAX($D$2:D195)))</f>
        <v/>
      </c>
      <c r="F195">
        <f>IF(D195="","",E195-D195)</f>
        <v/>
      </c>
    </row>
    <row r="196">
      <c r="D196">
        <f>IF(Journal!X196="","",SUM(Journal!$X$2:X196))</f>
        <v/>
      </c>
      <c r="E196">
        <f>IF(D196="","",MAX(0,MAX($D$2:D196)))</f>
        <v/>
      </c>
      <c r="F196">
        <f>IF(D196="","",E196-D196)</f>
        <v/>
      </c>
    </row>
    <row r="197">
      <c r="D197">
        <f>IF(Journal!X197="","",SUM(Journal!$X$2:X197))</f>
        <v/>
      </c>
      <c r="E197">
        <f>IF(D197="","",MAX(0,MAX($D$2:D197)))</f>
        <v/>
      </c>
      <c r="F197">
        <f>IF(D197="","",E197-D197)</f>
        <v/>
      </c>
    </row>
    <row r="198">
      <c r="D198">
        <f>IF(Journal!X198="","",SUM(Journal!$X$2:X198))</f>
        <v/>
      </c>
      <c r="E198">
        <f>IF(D198="","",MAX(0,MAX($D$2:D198)))</f>
        <v/>
      </c>
      <c r="F198">
        <f>IF(D198="","",E198-D198)</f>
        <v/>
      </c>
    </row>
    <row r="199">
      <c r="D199">
        <f>IF(Journal!X199="","",SUM(Journal!$X$2:X199))</f>
        <v/>
      </c>
      <c r="E199">
        <f>IF(D199="","",MAX(0,MAX($D$2:D199)))</f>
        <v/>
      </c>
      <c r="F199">
        <f>IF(D199="","",E199-D199)</f>
        <v/>
      </c>
    </row>
    <row r="200">
      <c r="D200">
        <f>IF(Journal!X200="","",SUM(Journal!$X$2:X200))</f>
        <v/>
      </c>
      <c r="E200">
        <f>IF(D200="","",MAX(0,MAX($D$2:D200)))</f>
        <v/>
      </c>
      <c r="F200">
        <f>IF(D200="","",E200-D200)</f>
        <v/>
      </c>
    </row>
    <row r="201">
      <c r="D201">
        <f>IF(Journal!X201="","",SUM(Journal!$X$2:X201))</f>
        <v/>
      </c>
      <c r="E201">
        <f>IF(D201="","",MAX(0,MAX($D$2:D201)))</f>
        <v/>
      </c>
      <c r="F201">
        <f>IF(D201="","",E201-D201)</f>
        <v/>
      </c>
    </row>
    <row r="202">
      <c r="D202">
        <f>IF(Journal!X202="","",SUM(Journal!$X$2:X202))</f>
        <v/>
      </c>
      <c r="E202">
        <f>IF(D202="","",MAX(0,MAX($D$2:D202)))</f>
        <v/>
      </c>
      <c r="F202">
        <f>IF(D202="","",E202-D202)</f>
        <v/>
      </c>
    </row>
    <row r="203">
      <c r="D203">
        <f>IF(Journal!X203="","",SUM(Journal!$X$2:X203))</f>
        <v/>
      </c>
      <c r="E203">
        <f>IF(D203="","",MAX(0,MAX($D$2:D203)))</f>
        <v/>
      </c>
      <c r="F203">
        <f>IF(D203="","",E203-D203)</f>
        <v/>
      </c>
    </row>
    <row r="204">
      <c r="D204">
        <f>IF(Journal!X204="","",SUM(Journal!$X$2:X204))</f>
        <v/>
      </c>
      <c r="E204">
        <f>IF(D204="","",MAX(0,MAX($D$2:D204)))</f>
        <v/>
      </c>
      <c r="F204">
        <f>IF(D204="","",E204-D204)</f>
        <v/>
      </c>
    </row>
    <row r="205">
      <c r="D205">
        <f>IF(Journal!X205="","",SUM(Journal!$X$2:X205))</f>
        <v/>
      </c>
      <c r="E205">
        <f>IF(D205="","",MAX(0,MAX($D$2:D205)))</f>
        <v/>
      </c>
      <c r="F205">
        <f>IF(D205="","",E205-D205)</f>
        <v/>
      </c>
    </row>
    <row r="206">
      <c r="D206">
        <f>IF(Journal!X206="","",SUM(Journal!$X$2:X206))</f>
        <v/>
      </c>
      <c r="E206">
        <f>IF(D206="","",MAX(0,MAX($D$2:D206)))</f>
        <v/>
      </c>
      <c r="F206">
        <f>IF(D206="","",E206-D206)</f>
        <v/>
      </c>
    </row>
    <row r="207">
      <c r="D207">
        <f>IF(Journal!X207="","",SUM(Journal!$X$2:X207))</f>
        <v/>
      </c>
      <c r="E207">
        <f>IF(D207="","",MAX(0,MAX($D$2:D207)))</f>
        <v/>
      </c>
      <c r="F207">
        <f>IF(D207="","",E207-D207)</f>
        <v/>
      </c>
    </row>
    <row r="208">
      <c r="D208">
        <f>IF(Journal!X208="","",SUM(Journal!$X$2:X208))</f>
        <v/>
      </c>
      <c r="E208">
        <f>IF(D208="","",MAX(0,MAX($D$2:D208)))</f>
        <v/>
      </c>
      <c r="F208">
        <f>IF(D208="","",E208-D208)</f>
        <v/>
      </c>
    </row>
    <row r="209">
      <c r="D209">
        <f>IF(Journal!X209="","",SUM(Journal!$X$2:X209))</f>
        <v/>
      </c>
      <c r="E209">
        <f>IF(D209="","",MAX(0,MAX($D$2:D209)))</f>
        <v/>
      </c>
      <c r="F209">
        <f>IF(D209="","",E209-D209)</f>
        <v/>
      </c>
    </row>
    <row r="210">
      <c r="D210">
        <f>IF(Journal!X210="","",SUM(Journal!$X$2:X210))</f>
        <v/>
      </c>
      <c r="E210">
        <f>IF(D210="","",MAX(0,MAX($D$2:D210)))</f>
        <v/>
      </c>
      <c r="F210">
        <f>IF(D210="","",E210-D210)</f>
        <v/>
      </c>
    </row>
    <row r="211">
      <c r="D211">
        <f>IF(Journal!X211="","",SUM(Journal!$X$2:X211))</f>
        <v/>
      </c>
      <c r="E211">
        <f>IF(D211="","",MAX(0,MAX($D$2:D211)))</f>
        <v/>
      </c>
      <c r="F211">
        <f>IF(D211="","",E211-D211)</f>
        <v/>
      </c>
    </row>
    <row r="212">
      <c r="D212">
        <f>IF(Journal!X212="","",SUM(Journal!$X$2:X212))</f>
        <v/>
      </c>
      <c r="E212">
        <f>IF(D212="","",MAX(0,MAX($D$2:D212)))</f>
        <v/>
      </c>
      <c r="F212">
        <f>IF(D212="","",E212-D212)</f>
        <v/>
      </c>
    </row>
    <row r="213">
      <c r="D213">
        <f>IF(Journal!X213="","",SUM(Journal!$X$2:X213))</f>
        <v/>
      </c>
      <c r="E213">
        <f>IF(D213="","",MAX(0,MAX($D$2:D213)))</f>
        <v/>
      </c>
      <c r="F213">
        <f>IF(D213="","",E213-D213)</f>
        <v/>
      </c>
    </row>
    <row r="214">
      <c r="D214">
        <f>IF(Journal!X214="","",SUM(Journal!$X$2:X214))</f>
        <v/>
      </c>
      <c r="E214">
        <f>IF(D214="","",MAX(0,MAX($D$2:D214)))</f>
        <v/>
      </c>
      <c r="F214">
        <f>IF(D214="","",E214-D214)</f>
        <v/>
      </c>
    </row>
    <row r="215">
      <c r="D215">
        <f>IF(Journal!X215="","",SUM(Journal!$X$2:X215))</f>
        <v/>
      </c>
      <c r="E215">
        <f>IF(D215="","",MAX(0,MAX($D$2:D215)))</f>
        <v/>
      </c>
      <c r="F215">
        <f>IF(D215="","",E215-D215)</f>
        <v/>
      </c>
    </row>
    <row r="216">
      <c r="D216">
        <f>IF(Journal!X216="","",SUM(Journal!$X$2:X216))</f>
        <v/>
      </c>
      <c r="E216">
        <f>IF(D216="","",MAX(0,MAX($D$2:D216)))</f>
        <v/>
      </c>
      <c r="F216">
        <f>IF(D216="","",E216-D216)</f>
        <v/>
      </c>
    </row>
    <row r="217">
      <c r="D217">
        <f>IF(Journal!X217="","",SUM(Journal!$X$2:X217))</f>
        <v/>
      </c>
      <c r="E217">
        <f>IF(D217="","",MAX(0,MAX($D$2:D217)))</f>
        <v/>
      </c>
      <c r="F217">
        <f>IF(D217="","",E217-D217)</f>
        <v/>
      </c>
    </row>
    <row r="218">
      <c r="D218">
        <f>IF(Journal!X218="","",SUM(Journal!$X$2:X218))</f>
        <v/>
      </c>
      <c r="E218">
        <f>IF(D218="","",MAX(0,MAX($D$2:D218)))</f>
        <v/>
      </c>
      <c r="F218">
        <f>IF(D218="","",E218-D218)</f>
        <v/>
      </c>
    </row>
    <row r="219">
      <c r="D219">
        <f>IF(Journal!X219="","",SUM(Journal!$X$2:X219))</f>
        <v/>
      </c>
      <c r="E219">
        <f>IF(D219="","",MAX(0,MAX($D$2:D219)))</f>
        <v/>
      </c>
      <c r="F219">
        <f>IF(D219="","",E219-D219)</f>
        <v/>
      </c>
    </row>
    <row r="220">
      <c r="D220">
        <f>IF(Journal!X220="","",SUM(Journal!$X$2:X220))</f>
        <v/>
      </c>
      <c r="E220">
        <f>IF(D220="","",MAX(0,MAX($D$2:D220)))</f>
        <v/>
      </c>
      <c r="F220">
        <f>IF(D220="","",E220-D220)</f>
        <v/>
      </c>
    </row>
    <row r="221">
      <c r="D221">
        <f>IF(Journal!X221="","",SUM(Journal!$X$2:X221))</f>
        <v/>
      </c>
      <c r="E221">
        <f>IF(D221="","",MAX(0,MAX($D$2:D221)))</f>
        <v/>
      </c>
      <c r="F221">
        <f>IF(D221="","",E221-D221)</f>
        <v/>
      </c>
    </row>
    <row r="222">
      <c r="D222">
        <f>IF(Journal!X222="","",SUM(Journal!$X$2:X222))</f>
        <v/>
      </c>
      <c r="E222">
        <f>IF(D222="","",MAX(0,MAX($D$2:D222)))</f>
        <v/>
      </c>
      <c r="F222">
        <f>IF(D222="","",E222-D222)</f>
        <v/>
      </c>
    </row>
    <row r="223">
      <c r="D223">
        <f>IF(Journal!X223="","",SUM(Journal!$X$2:X223))</f>
        <v/>
      </c>
      <c r="E223">
        <f>IF(D223="","",MAX(0,MAX($D$2:D223)))</f>
        <v/>
      </c>
      <c r="F223">
        <f>IF(D223="","",E223-D223)</f>
        <v/>
      </c>
    </row>
    <row r="224">
      <c r="D224">
        <f>IF(Journal!X224="","",SUM(Journal!$X$2:X224))</f>
        <v/>
      </c>
      <c r="E224">
        <f>IF(D224="","",MAX(0,MAX($D$2:D224)))</f>
        <v/>
      </c>
      <c r="F224">
        <f>IF(D224="","",E224-D224)</f>
        <v/>
      </c>
    </row>
    <row r="225">
      <c r="D225">
        <f>IF(Journal!X225="","",SUM(Journal!$X$2:X225))</f>
        <v/>
      </c>
      <c r="E225">
        <f>IF(D225="","",MAX(0,MAX($D$2:D225)))</f>
        <v/>
      </c>
      <c r="F225">
        <f>IF(D225="","",E225-D225)</f>
        <v/>
      </c>
    </row>
    <row r="226">
      <c r="D226">
        <f>IF(Journal!X226="","",SUM(Journal!$X$2:X226))</f>
        <v/>
      </c>
      <c r="E226">
        <f>IF(D226="","",MAX(0,MAX($D$2:D226)))</f>
        <v/>
      </c>
      <c r="F226">
        <f>IF(D226="","",E226-D226)</f>
        <v/>
      </c>
    </row>
    <row r="227">
      <c r="D227">
        <f>IF(Journal!X227="","",SUM(Journal!$X$2:X227))</f>
        <v/>
      </c>
      <c r="E227">
        <f>IF(D227="","",MAX(0,MAX($D$2:D227)))</f>
        <v/>
      </c>
      <c r="F227">
        <f>IF(D227="","",E227-D227)</f>
        <v/>
      </c>
    </row>
    <row r="228">
      <c r="D228">
        <f>IF(Journal!X228="","",SUM(Journal!$X$2:X228))</f>
        <v/>
      </c>
      <c r="E228">
        <f>IF(D228="","",MAX(0,MAX($D$2:D228)))</f>
        <v/>
      </c>
      <c r="F228">
        <f>IF(D228="","",E228-D228)</f>
        <v/>
      </c>
    </row>
    <row r="229">
      <c r="D229">
        <f>IF(Journal!X229="","",SUM(Journal!$X$2:X229))</f>
        <v/>
      </c>
      <c r="E229">
        <f>IF(D229="","",MAX(0,MAX($D$2:D229)))</f>
        <v/>
      </c>
      <c r="F229">
        <f>IF(D229="","",E229-D229)</f>
        <v/>
      </c>
    </row>
    <row r="230">
      <c r="D230">
        <f>IF(Journal!X230="","",SUM(Journal!$X$2:X230))</f>
        <v/>
      </c>
      <c r="E230">
        <f>IF(D230="","",MAX(0,MAX($D$2:D230)))</f>
        <v/>
      </c>
      <c r="F230">
        <f>IF(D230="","",E230-D230)</f>
        <v/>
      </c>
    </row>
    <row r="231">
      <c r="D231">
        <f>IF(Journal!X231="","",SUM(Journal!$X$2:X231))</f>
        <v/>
      </c>
      <c r="E231">
        <f>IF(D231="","",MAX(0,MAX($D$2:D231)))</f>
        <v/>
      </c>
      <c r="F231">
        <f>IF(D231="","",E231-D231)</f>
        <v/>
      </c>
    </row>
    <row r="232">
      <c r="D232">
        <f>IF(Journal!X232="","",SUM(Journal!$X$2:X232))</f>
        <v/>
      </c>
      <c r="E232">
        <f>IF(D232="","",MAX(0,MAX($D$2:D232)))</f>
        <v/>
      </c>
      <c r="F232">
        <f>IF(D232="","",E232-D232)</f>
        <v/>
      </c>
    </row>
    <row r="233">
      <c r="D233">
        <f>IF(Journal!X233="","",SUM(Journal!$X$2:X233))</f>
        <v/>
      </c>
      <c r="E233">
        <f>IF(D233="","",MAX(0,MAX($D$2:D233)))</f>
        <v/>
      </c>
      <c r="F233">
        <f>IF(D233="","",E233-D233)</f>
        <v/>
      </c>
    </row>
    <row r="234">
      <c r="D234">
        <f>IF(Journal!X234="","",SUM(Journal!$X$2:X234))</f>
        <v/>
      </c>
      <c r="E234">
        <f>IF(D234="","",MAX(0,MAX($D$2:D234)))</f>
        <v/>
      </c>
      <c r="F234">
        <f>IF(D234="","",E234-D234)</f>
        <v/>
      </c>
    </row>
    <row r="235">
      <c r="D235">
        <f>IF(Journal!X235="","",SUM(Journal!$X$2:X235))</f>
        <v/>
      </c>
      <c r="E235">
        <f>IF(D235="","",MAX(0,MAX($D$2:D235)))</f>
        <v/>
      </c>
      <c r="F235">
        <f>IF(D235="","",E235-D235)</f>
        <v/>
      </c>
    </row>
    <row r="236">
      <c r="D236">
        <f>IF(Journal!X236="","",SUM(Journal!$X$2:X236))</f>
        <v/>
      </c>
      <c r="E236">
        <f>IF(D236="","",MAX(0,MAX($D$2:D236)))</f>
        <v/>
      </c>
      <c r="F236">
        <f>IF(D236="","",E236-D236)</f>
        <v/>
      </c>
    </row>
    <row r="237">
      <c r="D237">
        <f>IF(Journal!X237="","",SUM(Journal!$X$2:X237))</f>
        <v/>
      </c>
      <c r="E237">
        <f>IF(D237="","",MAX(0,MAX($D$2:D237)))</f>
        <v/>
      </c>
      <c r="F237">
        <f>IF(D237="","",E237-D237)</f>
        <v/>
      </c>
    </row>
    <row r="238">
      <c r="D238">
        <f>IF(Journal!X238="","",SUM(Journal!$X$2:X238))</f>
        <v/>
      </c>
      <c r="E238">
        <f>IF(D238="","",MAX(0,MAX($D$2:D238)))</f>
        <v/>
      </c>
      <c r="F238">
        <f>IF(D238="","",E238-D238)</f>
        <v/>
      </c>
    </row>
    <row r="239">
      <c r="D239">
        <f>IF(Journal!X239="","",SUM(Journal!$X$2:X239))</f>
        <v/>
      </c>
      <c r="E239">
        <f>IF(D239="","",MAX(0,MAX($D$2:D239)))</f>
        <v/>
      </c>
      <c r="F239">
        <f>IF(D239="","",E239-D239)</f>
        <v/>
      </c>
    </row>
    <row r="240">
      <c r="D240">
        <f>IF(Journal!X240="","",SUM(Journal!$X$2:X240))</f>
        <v/>
      </c>
      <c r="E240">
        <f>IF(D240="","",MAX(0,MAX($D$2:D240)))</f>
        <v/>
      </c>
      <c r="F240">
        <f>IF(D240="","",E240-D240)</f>
        <v/>
      </c>
    </row>
    <row r="241">
      <c r="D241">
        <f>IF(Journal!X241="","",SUM(Journal!$X$2:X241))</f>
        <v/>
      </c>
      <c r="E241">
        <f>IF(D241="","",MAX(0,MAX($D$2:D241)))</f>
        <v/>
      </c>
      <c r="F241">
        <f>IF(D241="","",E241-D241)</f>
        <v/>
      </c>
    </row>
    <row r="242">
      <c r="D242">
        <f>IF(Journal!X242="","",SUM(Journal!$X$2:X242))</f>
        <v/>
      </c>
      <c r="E242">
        <f>IF(D242="","",MAX(0,MAX($D$2:D242)))</f>
        <v/>
      </c>
      <c r="F242">
        <f>IF(D242="","",E242-D242)</f>
        <v/>
      </c>
    </row>
    <row r="243">
      <c r="D243">
        <f>IF(Journal!X243="","",SUM(Journal!$X$2:X243))</f>
        <v/>
      </c>
      <c r="E243">
        <f>IF(D243="","",MAX(0,MAX($D$2:D243)))</f>
        <v/>
      </c>
      <c r="F243">
        <f>IF(D243="","",E243-D243)</f>
        <v/>
      </c>
    </row>
    <row r="244">
      <c r="D244">
        <f>IF(Journal!X244="","",SUM(Journal!$X$2:X244))</f>
        <v/>
      </c>
      <c r="E244">
        <f>IF(D244="","",MAX(0,MAX($D$2:D244)))</f>
        <v/>
      </c>
      <c r="F244">
        <f>IF(D244="","",E244-D244)</f>
        <v/>
      </c>
    </row>
    <row r="245">
      <c r="D245">
        <f>IF(Journal!X245="","",SUM(Journal!$X$2:X245))</f>
        <v/>
      </c>
      <c r="E245">
        <f>IF(D245="","",MAX(0,MAX($D$2:D245)))</f>
        <v/>
      </c>
      <c r="F245">
        <f>IF(D245="","",E245-D245)</f>
        <v/>
      </c>
    </row>
    <row r="246">
      <c r="D246">
        <f>IF(Journal!X246="","",SUM(Journal!$X$2:X246))</f>
        <v/>
      </c>
      <c r="E246">
        <f>IF(D246="","",MAX(0,MAX($D$2:D246)))</f>
        <v/>
      </c>
      <c r="F246">
        <f>IF(D246="","",E246-D246)</f>
        <v/>
      </c>
    </row>
    <row r="247">
      <c r="D247">
        <f>IF(Journal!X247="","",SUM(Journal!$X$2:X247))</f>
        <v/>
      </c>
      <c r="E247">
        <f>IF(D247="","",MAX(0,MAX($D$2:D247)))</f>
        <v/>
      </c>
      <c r="F247">
        <f>IF(D247="","",E247-D247)</f>
        <v/>
      </c>
    </row>
    <row r="248">
      <c r="D248">
        <f>IF(Journal!X248="","",SUM(Journal!$X$2:X248))</f>
        <v/>
      </c>
      <c r="E248">
        <f>IF(D248="","",MAX(0,MAX($D$2:D248)))</f>
        <v/>
      </c>
      <c r="F248">
        <f>IF(D248="","",E248-D248)</f>
        <v/>
      </c>
    </row>
    <row r="249">
      <c r="D249">
        <f>IF(Journal!X249="","",SUM(Journal!$X$2:X249))</f>
        <v/>
      </c>
      <c r="E249">
        <f>IF(D249="","",MAX(0,MAX($D$2:D249)))</f>
        <v/>
      </c>
      <c r="F249">
        <f>IF(D249="","",E249-D249)</f>
        <v/>
      </c>
    </row>
    <row r="250">
      <c r="D250">
        <f>IF(Journal!X250="","",SUM(Journal!$X$2:X250))</f>
        <v/>
      </c>
      <c r="E250">
        <f>IF(D250="","",MAX(0,MAX($D$2:D250)))</f>
        <v/>
      </c>
      <c r="F250">
        <f>IF(D250="","",E250-D250)</f>
        <v/>
      </c>
    </row>
    <row r="251">
      <c r="D251">
        <f>IF(Journal!X251="","",SUM(Journal!$X$2:X251))</f>
        <v/>
      </c>
      <c r="E251">
        <f>IF(D251="","",MAX(0,MAX($D$2:D251)))</f>
        <v/>
      </c>
      <c r="F251">
        <f>IF(D251="","",E251-D251)</f>
        <v/>
      </c>
    </row>
    <row r="252">
      <c r="D252">
        <f>IF(Journal!X252="","",SUM(Journal!$X$2:X252))</f>
        <v/>
      </c>
      <c r="E252">
        <f>IF(D252="","",MAX(0,MAX($D$2:D252)))</f>
        <v/>
      </c>
      <c r="F252">
        <f>IF(D252="","",E252-D252)</f>
        <v/>
      </c>
    </row>
    <row r="253">
      <c r="D253">
        <f>IF(Journal!X253="","",SUM(Journal!$X$2:X253))</f>
        <v/>
      </c>
      <c r="E253">
        <f>IF(D253="","",MAX(0,MAX($D$2:D253)))</f>
        <v/>
      </c>
      <c r="F253">
        <f>IF(D253="","",E253-D253)</f>
        <v/>
      </c>
    </row>
    <row r="254">
      <c r="D254">
        <f>IF(Journal!X254="","",SUM(Journal!$X$2:X254))</f>
        <v/>
      </c>
      <c r="E254">
        <f>IF(D254="","",MAX(0,MAX($D$2:D254)))</f>
        <v/>
      </c>
      <c r="F254">
        <f>IF(D254="","",E254-D254)</f>
        <v/>
      </c>
    </row>
    <row r="255">
      <c r="D255">
        <f>IF(Journal!X255="","",SUM(Journal!$X$2:X255))</f>
        <v/>
      </c>
      <c r="E255">
        <f>IF(D255="","",MAX(0,MAX($D$2:D255)))</f>
        <v/>
      </c>
      <c r="F255">
        <f>IF(D255="","",E255-D255)</f>
        <v/>
      </c>
    </row>
    <row r="256">
      <c r="D256">
        <f>IF(Journal!X256="","",SUM(Journal!$X$2:X256))</f>
        <v/>
      </c>
      <c r="E256">
        <f>IF(D256="","",MAX(0,MAX($D$2:D256)))</f>
        <v/>
      </c>
      <c r="F256">
        <f>IF(D256="","",E256-D256)</f>
        <v/>
      </c>
    </row>
    <row r="257">
      <c r="D257">
        <f>IF(Journal!X257="","",SUM(Journal!$X$2:X257))</f>
        <v/>
      </c>
      <c r="E257">
        <f>IF(D257="","",MAX(0,MAX($D$2:D257)))</f>
        <v/>
      </c>
      <c r="F257">
        <f>IF(D257="","",E257-D257)</f>
        <v/>
      </c>
    </row>
    <row r="258">
      <c r="D258">
        <f>IF(Journal!X258="","",SUM(Journal!$X$2:X258))</f>
        <v/>
      </c>
      <c r="E258">
        <f>IF(D258="","",MAX(0,MAX($D$2:D258)))</f>
        <v/>
      </c>
      <c r="F258">
        <f>IF(D258="","",E258-D258)</f>
        <v/>
      </c>
    </row>
    <row r="259">
      <c r="D259">
        <f>IF(Journal!X259="","",SUM(Journal!$X$2:X259))</f>
        <v/>
      </c>
      <c r="E259">
        <f>IF(D259="","",MAX(0,MAX($D$2:D259)))</f>
        <v/>
      </c>
      <c r="F259">
        <f>IF(D259="","",E259-D259)</f>
        <v/>
      </c>
    </row>
    <row r="260">
      <c r="D260">
        <f>IF(Journal!X260="","",SUM(Journal!$X$2:X260))</f>
        <v/>
      </c>
      <c r="E260">
        <f>IF(D260="","",MAX(0,MAX($D$2:D260)))</f>
        <v/>
      </c>
      <c r="F260">
        <f>IF(D260="","",E260-D260)</f>
        <v/>
      </c>
    </row>
    <row r="261">
      <c r="D261">
        <f>IF(Journal!X261="","",SUM(Journal!$X$2:X261))</f>
        <v/>
      </c>
      <c r="E261">
        <f>IF(D261="","",MAX(0,MAX($D$2:D261)))</f>
        <v/>
      </c>
      <c r="F261">
        <f>IF(D261="","",E261-D261)</f>
        <v/>
      </c>
    </row>
    <row r="262">
      <c r="D262">
        <f>IF(Journal!X262="","",SUM(Journal!$X$2:X262))</f>
        <v/>
      </c>
      <c r="E262">
        <f>IF(D262="","",MAX(0,MAX($D$2:D262)))</f>
        <v/>
      </c>
      <c r="F262">
        <f>IF(D262="","",E262-D262)</f>
        <v/>
      </c>
    </row>
    <row r="263">
      <c r="D263">
        <f>IF(Journal!X263="","",SUM(Journal!$X$2:X263))</f>
        <v/>
      </c>
      <c r="E263">
        <f>IF(D263="","",MAX(0,MAX($D$2:D263)))</f>
        <v/>
      </c>
      <c r="F263">
        <f>IF(D263="","",E263-D263)</f>
        <v/>
      </c>
    </row>
    <row r="264">
      <c r="D264">
        <f>IF(Journal!X264="","",SUM(Journal!$X$2:X264))</f>
        <v/>
      </c>
      <c r="E264">
        <f>IF(D264="","",MAX(0,MAX($D$2:D264)))</f>
        <v/>
      </c>
      <c r="F264">
        <f>IF(D264="","",E264-D264)</f>
        <v/>
      </c>
    </row>
    <row r="265">
      <c r="D265">
        <f>IF(Journal!X265="","",SUM(Journal!$X$2:X265))</f>
        <v/>
      </c>
      <c r="E265">
        <f>IF(D265="","",MAX(0,MAX($D$2:D265)))</f>
        <v/>
      </c>
      <c r="F265">
        <f>IF(D265="","",E265-D265)</f>
        <v/>
      </c>
    </row>
    <row r="266">
      <c r="D266">
        <f>IF(Journal!X266="","",SUM(Journal!$X$2:X266))</f>
        <v/>
      </c>
      <c r="E266">
        <f>IF(D266="","",MAX(0,MAX($D$2:D266)))</f>
        <v/>
      </c>
      <c r="F266">
        <f>IF(D266="","",E266-D266)</f>
        <v/>
      </c>
    </row>
    <row r="267">
      <c r="D267">
        <f>IF(Journal!X267="","",SUM(Journal!$X$2:X267))</f>
        <v/>
      </c>
      <c r="E267">
        <f>IF(D267="","",MAX(0,MAX($D$2:D267)))</f>
        <v/>
      </c>
      <c r="F267">
        <f>IF(D267="","",E267-D267)</f>
        <v/>
      </c>
    </row>
    <row r="268">
      <c r="D268">
        <f>IF(Journal!X268="","",SUM(Journal!$X$2:X268))</f>
        <v/>
      </c>
      <c r="E268">
        <f>IF(D268="","",MAX(0,MAX($D$2:D268)))</f>
        <v/>
      </c>
      <c r="F268">
        <f>IF(D268="","",E268-D268)</f>
        <v/>
      </c>
    </row>
    <row r="269">
      <c r="D269">
        <f>IF(Journal!X269="","",SUM(Journal!$X$2:X269))</f>
        <v/>
      </c>
      <c r="E269">
        <f>IF(D269="","",MAX(0,MAX($D$2:D269)))</f>
        <v/>
      </c>
      <c r="F269">
        <f>IF(D269="","",E269-D269)</f>
        <v/>
      </c>
    </row>
    <row r="270">
      <c r="D270">
        <f>IF(Journal!X270="","",SUM(Journal!$X$2:X270))</f>
        <v/>
      </c>
      <c r="E270">
        <f>IF(D270="","",MAX(0,MAX($D$2:D270)))</f>
        <v/>
      </c>
      <c r="F270">
        <f>IF(D270="","",E270-D270)</f>
        <v/>
      </c>
    </row>
    <row r="271">
      <c r="D271">
        <f>IF(Journal!X271="","",SUM(Journal!$X$2:X271))</f>
        <v/>
      </c>
      <c r="E271">
        <f>IF(D271="","",MAX(0,MAX($D$2:D271)))</f>
        <v/>
      </c>
      <c r="F271">
        <f>IF(D271="","",E271-D271)</f>
        <v/>
      </c>
    </row>
    <row r="272">
      <c r="D272">
        <f>IF(Journal!X272="","",SUM(Journal!$X$2:X272))</f>
        <v/>
      </c>
      <c r="E272">
        <f>IF(D272="","",MAX(0,MAX($D$2:D272)))</f>
        <v/>
      </c>
      <c r="F272">
        <f>IF(D272="","",E272-D272)</f>
        <v/>
      </c>
    </row>
    <row r="273">
      <c r="D273">
        <f>IF(Journal!X273="","",SUM(Journal!$X$2:X273))</f>
        <v/>
      </c>
      <c r="E273">
        <f>IF(D273="","",MAX(0,MAX($D$2:D273)))</f>
        <v/>
      </c>
      <c r="F273">
        <f>IF(D273="","",E273-D273)</f>
        <v/>
      </c>
    </row>
    <row r="274">
      <c r="D274">
        <f>IF(Journal!X274="","",SUM(Journal!$X$2:X274))</f>
        <v/>
      </c>
      <c r="E274">
        <f>IF(D274="","",MAX(0,MAX($D$2:D274)))</f>
        <v/>
      </c>
      <c r="F274">
        <f>IF(D274="","",E274-D274)</f>
        <v/>
      </c>
    </row>
    <row r="275">
      <c r="D275">
        <f>IF(Journal!X275="","",SUM(Journal!$X$2:X275))</f>
        <v/>
      </c>
      <c r="E275">
        <f>IF(D275="","",MAX(0,MAX($D$2:D275)))</f>
        <v/>
      </c>
      <c r="F275">
        <f>IF(D275="","",E275-D275)</f>
        <v/>
      </c>
    </row>
    <row r="276">
      <c r="D276">
        <f>IF(Journal!X276="","",SUM(Journal!$X$2:X276))</f>
        <v/>
      </c>
      <c r="E276">
        <f>IF(D276="","",MAX(0,MAX($D$2:D276)))</f>
        <v/>
      </c>
      <c r="F276">
        <f>IF(D276="","",E276-D276)</f>
        <v/>
      </c>
    </row>
    <row r="277">
      <c r="D277">
        <f>IF(Journal!X277="","",SUM(Journal!$X$2:X277))</f>
        <v/>
      </c>
      <c r="E277">
        <f>IF(D277="","",MAX(0,MAX($D$2:D277)))</f>
        <v/>
      </c>
      <c r="F277">
        <f>IF(D277="","",E277-D277)</f>
        <v/>
      </c>
    </row>
    <row r="278">
      <c r="D278">
        <f>IF(Journal!X278="","",SUM(Journal!$X$2:X278))</f>
        <v/>
      </c>
      <c r="E278">
        <f>IF(D278="","",MAX(0,MAX($D$2:D278)))</f>
        <v/>
      </c>
      <c r="F278">
        <f>IF(D278="","",E278-D278)</f>
        <v/>
      </c>
    </row>
    <row r="279">
      <c r="D279">
        <f>IF(Journal!X279="","",SUM(Journal!$X$2:X279))</f>
        <v/>
      </c>
      <c r="E279">
        <f>IF(D279="","",MAX(0,MAX($D$2:D279)))</f>
        <v/>
      </c>
      <c r="F279">
        <f>IF(D279="","",E279-D279)</f>
        <v/>
      </c>
    </row>
    <row r="280">
      <c r="D280">
        <f>IF(Journal!X280="","",SUM(Journal!$X$2:X280))</f>
        <v/>
      </c>
      <c r="E280">
        <f>IF(D280="","",MAX(0,MAX($D$2:D280)))</f>
        <v/>
      </c>
      <c r="F280">
        <f>IF(D280="","",E280-D280)</f>
        <v/>
      </c>
    </row>
    <row r="281">
      <c r="D281">
        <f>IF(Journal!X281="","",SUM(Journal!$X$2:X281))</f>
        <v/>
      </c>
      <c r="E281">
        <f>IF(D281="","",MAX(0,MAX($D$2:D281)))</f>
        <v/>
      </c>
      <c r="F281">
        <f>IF(D281="","",E281-D281)</f>
        <v/>
      </c>
    </row>
    <row r="282">
      <c r="D282">
        <f>IF(Journal!X282="","",SUM(Journal!$X$2:X282))</f>
        <v/>
      </c>
      <c r="E282">
        <f>IF(D282="","",MAX(0,MAX($D$2:D282)))</f>
        <v/>
      </c>
      <c r="F282">
        <f>IF(D282="","",E282-D282)</f>
        <v/>
      </c>
    </row>
    <row r="283">
      <c r="D283">
        <f>IF(Journal!X283="","",SUM(Journal!$X$2:X283))</f>
        <v/>
      </c>
      <c r="E283">
        <f>IF(D283="","",MAX(0,MAX($D$2:D283)))</f>
        <v/>
      </c>
      <c r="F283">
        <f>IF(D283="","",E283-D283)</f>
        <v/>
      </c>
    </row>
    <row r="284">
      <c r="D284">
        <f>IF(Journal!X284="","",SUM(Journal!$X$2:X284))</f>
        <v/>
      </c>
      <c r="E284">
        <f>IF(D284="","",MAX(0,MAX($D$2:D284)))</f>
        <v/>
      </c>
      <c r="F284">
        <f>IF(D284="","",E284-D284)</f>
        <v/>
      </c>
    </row>
    <row r="285">
      <c r="D285">
        <f>IF(Journal!X285="","",SUM(Journal!$X$2:X285))</f>
        <v/>
      </c>
      <c r="E285">
        <f>IF(D285="","",MAX(0,MAX($D$2:D285)))</f>
        <v/>
      </c>
      <c r="F285">
        <f>IF(D285="","",E285-D285)</f>
        <v/>
      </c>
    </row>
    <row r="286">
      <c r="D286">
        <f>IF(Journal!X286="","",SUM(Journal!$X$2:X286))</f>
        <v/>
      </c>
      <c r="E286">
        <f>IF(D286="","",MAX(0,MAX($D$2:D286)))</f>
        <v/>
      </c>
      <c r="F286">
        <f>IF(D286="","",E286-D286)</f>
        <v/>
      </c>
    </row>
    <row r="287">
      <c r="D287">
        <f>IF(Journal!X287="","",SUM(Journal!$X$2:X287))</f>
        <v/>
      </c>
      <c r="E287">
        <f>IF(D287="","",MAX(0,MAX($D$2:D287)))</f>
        <v/>
      </c>
      <c r="F287">
        <f>IF(D287="","",E287-D287)</f>
        <v/>
      </c>
    </row>
    <row r="288">
      <c r="D288">
        <f>IF(Journal!X288="","",SUM(Journal!$X$2:X288))</f>
        <v/>
      </c>
      <c r="E288">
        <f>IF(D288="","",MAX(0,MAX($D$2:D288)))</f>
        <v/>
      </c>
      <c r="F288">
        <f>IF(D288="","",E288-D288)</f>
        <v/>
      </c>
    </row>
    <row r="289">
      <c r="D289">
        <f>IF(Journal!X289="","",SUM(Journal!$X$2:X289))</f>
        <v/>
      </c>
      <c r="E289">
        <f>IF(D289="","",MAX(0,MAX($D$2:D289)))</f>
        <v/>
      </c>
      <c r="F289">
        <f>IF(D289="","",E289-D289)</f>
        <v/>
      </c>
    </row>
    <row r="290">
      <c r="D290">
        <f>IF(Journal!X290="","",SUM(Journal!$X$2:X290))</f>
        <v/>
      </c>
      <c r="E290">
        <f>IF(D290="","",MAX(0,MAX($D$2:D290)))</f>
        <v/>
      </c>
      <c r="F290">
        <f>IF(D290="","",E290-D290)</f>
        <v/>
      </c>
    </row>
    <row r="291">
      <c r="D291">
        <f>IF(Journal!X291="","",SUM(Journal!$X$2:X291))</f>
        <v/>
      </c>
      <c r="E291">
        <f>IF(D291="","",MAX(0,MAX($D$2:D291)))</f>
        <v/>
      </c>
      <c r="F291">
        <f>IF(D291="","",E291-D291)</f>
        <v/>
      </c>
    </row>
    <row r="292">
      <c r="D292">
        <f>IF(Journal!X292="","",SUM(Journal!$X$2:X292))</f>
        <v/>
      </c>
      <c r="E292">
        <f>IF(D292="","",MAX(0,MAX($D$2:D292)))</f>
        <v/>
      </c>
      <c r="F292">
        <f>IF(D292="","",E292-D292)</f>
        <v/>
      </c>
    </row>
    <row r="293">
      <c r="D293">
        <f>IF(Journal!X293="","",SUM(Journal!$X$2:X293))</f>
        <v/>
      </c>
      <c r="E293">
        <f>IF(D293="","",MAX(0,MAX($D$2:D293)))</f>
        <v/>
      </c>
      <c r="F293">
        <f>IF(D293="","",E293-D293)</f>
        <v/>
      </c>
    </row>
    <row r="294">
      <c r="D294">
        <f>IF(Journal!X294="","",SUM(Journal!$X$2:X294))</f>
        <v/>
      </c>
      <c r="E294">
        <f>IF(D294="","",MAX(0,MAX($D$2:D294)))</f>
        <v/>
      </c>
      <c r="F294">
        <f>IF(D294="","",E294-D294)</f>
        <v/>
      </c>
    </row>
    <row r="295">
      <c r="D295">
        <f>IF(Journal!X295="","",SUM(Journal!$X$2:X295))</f>
        <v/>
      </c>
      <c r="E295">
        <f>IF(D295="","",MAX(0,MAX($D$2:D295)))</f>
        <v/>
      </c>
      <c r="F295">
        <f>IF(D295="","",E295-D295)</f>
        <v/>
      </c>
    </row>
    <row r="296">
      <c r="D296">
        <f>IF(Journal!X296="","",SUM(Journal!$X$2:X296))</f>
        <v/>
      </c>
      <c r="E296">
        <f>IF(D296="","",MAX(0,MAX($D$2:D296)))</f>
        <v/>
      </c>
      <c r="F296">
        <f>IF(D296="","",E296-D296)</f>
        <v/>
      </c>
    </row>
    <row r="297">
      <c r="D297">
        <f>IF(Journal!X297="","",SUM(Journal!$X$2:X297))</f>
        <v/>
      </c>
      <c r="E297">
        <f>IF(D297="","",MAX(0,MAX($D$2:D297)))</f>
        <v/>
      </c>
      <c r="F297">
        <f>IF(D297="","",E297-D297)</f>
        <v/>
      </c>
    </row>
    <row r="298">
      <c r="D298">
        <f>IF(Journal!X298="","",SUM(Journal!$X$2:X298))</f>
        <v/>
      </c>
      <c r="E298">
        <f>IF(D298="","",MAX(0,MAX($D$2:D298)))</f>
        <v/>
      </c>
      <c r="F298">
        <f>IF(D298="","",E298-D298)</f>
        <v/>
      </c>
    </row>
    <row r="299">
      <c r="D299">
        <f>IF(Journal!X299="","",SUM(Journal!$X$2:X299))</f>
        <v/>
      </c>
      <c r="E299">
        <f>IF(D299="","",MAX(0,MAX($D$2:D299)))</f>
        <v/>
      </c>
      <c r="F299">
        <f>IF(D299="","",E299-D299)</f>
        <v/>
      </c>
    </row>
    <row r="300">
      <c r="D300">
        <f>IF(Journal!X300="","",SUM(Journal!$X$2:X300))</f>
        <v/>
      </c>
      <c r="E300">
        <f>IF(D300="","",MAX(0,MAX($D$2:D300)))</f>
        <v/>
      </c>
      <c r="F300">
        <f>IF(D300="","",E300-D300)</f>
        <v/>
      </c>
    </row>
    <row r="301">
      <c r="D301">
        <f>IF(Journal!X301="","",SUM(Journal!$X$2:X301))</f>
        <v/>
      </c>
      <c r="E301">
        <f>IF(D301="","",MAX(0,MAX($D$2:D301)))</f>
        <v/>
      </c>
      <c r="F301">
        <f>IF(D301="","",E301-D301)</f>
        <v/>
      </c>
    </row>
    <row r="302">
      <c r="D302">
        <f>IF(Journal!X302="","",SUM(Journal!$X$2:X302))</f>
        <v/>
      </c>
      <c r="E302">
        <f>IF(D302="","",MAX(0,MAX($D$2:D302)))</f>
        <v/>
      </c>
      <c r="F302">
        <f>IF(D302="","",E302-D302)</f>
        <v/>
      </c>
    </row>
    <row r="303">
      <c r="D303">
        <f>IF(Journal!X303="","",SUM(Journal!$X$2:X303))</f>
        <v/>
      </c>
      <c r="E303">
        <f>IF(D303="","",MAX(0,MAX($D$2:D303)))</f>
        <v/>
      </c>
      <c r="F303">
        <f>IF(D303="","",E303-D303)</f>
        <v/>
      </c>
    </row>
    <row r="304">
      <c r="D304">
        <f>IF(Journal!X304="","",SUM(Journal!$X$2:X304))</f>
        <v/>
      </c>
      <c r="E304">
        <f>IF(D304="","",MAX(0,MAX($D$2:D304)))</f>
        <v/>
      </c>
      <c r="F304">
        <f>IF(D304="","",E304-D304)</f>
        <v/>
      </c>
    </row>
    <row r="305">
      <c r="D305">
        <f>IF(Journal!X305="","",SUM(Journal!$X$2:X305))</f>
        <v/>
      </c>
      <c r="E305">
        <f>IF(D305="","",MAX(0,MAX($D$2:D305)))</f>
        <v/>
      </c>
      <c r="F305">
        <f>IF(D305="","",E305-D305)</f>
        <v/>
      </c>
    </row>
    <row r="306">
      <c r="D306">
        <f>IF(Journal!X306="","",SUM(Journal!$X$2:X306))</f>
        <v/>
      </c>
      <c r="E306">
        <f>IF(D306="","",MAX(0,MAX($D$2:D306)))</f>
        <v/>
      </c>
      <c r="F306">
        <f>IF(D306="","",E306-D306)</f>
        <v/>
      </c>
    </row>
    <row r="307">
      <c r="D307">
        <f>IF(Journal!X307="","",SUM(Journal!$X$2:X307))</f>
        <v/>
      </c>
      <c r="E307">
        <f>IF(D307="","",MAX(0,MAX($D$2:D307)))</f>
        <v/>
      </c>
      <c r="F307">
        <f>IF(D307="","",E307-D307)</f>
        <v/>
      </c>
    </row>
    <row r="308">
      <c r="D308">
        <f>IF(Journal!X308="","",SUM(Journal!$X$2:X308))</f>
        <v/>
      </c>
      <c r="E308">
        <f>IF(D308="","",MAX(0,MAX($D$2:D308)))</f>
        <v/>
      </c>
      <c r="F308">
        <f>IF(D308="","",E308-D308)</f>
        <v/>
      </c>
    </row>
    <row r="309">
      <c r="D309">
        <f>IF(Journal!X309="","",SUM(Journal!$X$2:X309))</f>
        <v/>
      </c>
      <c r="E309">
        <f>IF(D309="","",MAX(0,MAX($D$2:D309)))</f>
        <v/>
      </c>
      <c r="F309">
        <f>IF(D309="","",E309-D309)</f>
        <v/>
      </c>
    </row>
    <row r="310">
      <c r="D310">
        <f>IF(Journal!X310="","",SUM(Journal!$X$2:X310))</f>
        <v/>
      </c>
      <c r="E310">
        <f>IF(D310="","",MAX(0,MAX($D$2:D310)))</f>
        <v/>
      </c>
      <c r="F310">
        <f>IF(D310="","",E310-D310)</f>
        <v/>
      </c>
    </row>
    <row r="311">
      <c r="D311">
        <f>IF(Journal!X311="","",SUM(Journal!$X$2:X311))</f>
        <v/>
      </c>
      <c r="E311">
        <f>IF(D311="","",MAX(0,MAX($D$2:D311)))</f>
        <v/>
      </c>
      <c r="F311">
        <f>IF(D311="","",E311-D311)</f>
        <v/>
      </c>
    </row>
    <row r="312">
      <c r="D312">
        <f>IF(Journal!X312="","",SUM(Journal!$X$2:X312))</f>
        <v/>
      </c>
      <c r="E312">
        <f>IF(D312="","",MAX(0,MAX($D$2:D312)))</f>
        <v/>
      </c>
      <c r="F312">
        <f>IF(D312="","",E312-D312)</f>
        <v/>
      </c>
    </row>
    <row r="313">
      <c r="D313">
        <f>IF(Journal!X313="","",SUM(Journal!$X$2:X313))</f>
        <v/>
      </c>
      <c r="E313">
        <f>IF(D313="","",MAX(0,MAX($D$2:D313)))</f>
        <v/>
      </c>
      <c r="F313">
        <f>IF(D313="","",E313-D313)</f>
        <v/>
      </c>
    </row>
    <row r="314">
      <c r="D314">
        <f>IF(Journal!X314="","",SUM(Journal!$X$2:X314))</f>
        <v/>
      </c>
      <c r="E314">
        <f>IF(D314="","",MAX(0,MAX($D$2:D314)))</f>
        <v/>
      </c>
      <c r="F314">
        <f>IF(D314="","",E314-D314)</f>
        <v/>
      </c>
    </row>
    <row r="315">
      <c r="D315">
        <f>IF(Journal!X315="","",SUM(Journal!$X$2:X315))</f>
        <v/>
      </c>
      <c r="E315">
        <f>IF(D315="","",MAX(0,MAX($D$2:D315)))</f>
        <v/>
      </c>
      <c r="F315">
        <f>IF(D315="","",E315-D315)</f>
        <v/>
      </c>
    </row>
    <row r="316">
      <c r="D316">
        <f>IF(Journal!X316="","",SUM(Journal!$X$2:X316))</f>
        <v/>
      </c>
      <c r="E316">
        <f>IF(D316="","",MAX(0,MAX($D$2:D316)))</f>
        <v/>
      </c>
      <c r="F316">
        <f>IF(D316="","",E316-D316)</f>
        <v/>
      </c>
    </row>
    <row r="317">
      <c r="D317">
        <f>IF(Journal!X317="","",SUM(Journal!$X$2:X317))</f>
        <v/>
      </c>
      <c r="E317">
        <f>IF(D317="","",MAX(0,MAX($D$2:D317)))</f>
        <v/>
      </c>
      <c r="F317">
        <f>IF(D317="","",E317-D317)</f>
        <v/>
      </c>
    </row>
    <row r="318">
      <c r="D318">
        <f>IF(Journal!X318="","",SUM(Journal!$X$2:X318))</f>
        <v/>
      </c>
      <c r="E318">
        <f>IF(D318="","",MAX(0,MAX($D$2:D318)))</f>
        <v/>
      </c>
      <c r="F318">
        <f>IF(D318="","",E318-D318)</f>
        <v/>
      </c>
    </row>
    <row r="319">
      <c r="D319">
        <f>IF(Journal!X319="","",SUM(Journal!$X$2:X319))</f>
        <v/>
      </c>
      <c r="E319">
        <f>IF(D319="","",MAX(0,MAX($D$2:D319)))</f>
        <v/>
      </c>
      <c r="F319">
        <f>IF(D319="","",E319-D319)</f>
        <v/>
      </c>
    </row>
    <row r="320">
      <c r="D320">
        <f>IF(Journal!X320="","",SUM(Journal!$X$2:X320))</f>
        <v/>
      </c>
      <c r="E320">
        <f>IF(D320="","",MAX(0,MAX($D$2:D320)))</f>
        <v/>
      </c>
      <c r="F320">
        <f>IF(D320="","",E320-D320)</f>
        <v/>
      </c>
    </row>
    <row r="321">
      <c r="D321">
        <f>IF(Journal!X321="","",SUM(Journal!$X$2:X321))</f>
        <v/>
      </c>
      <c r="E321">
        <f>IF(D321="","",MAX(0,MAX($D$2:D321)))</f>
        <v/>
      </c>
      <c r="F321">
        <f>IF(D321="","",E321-D321)</f>
        <v/>
      </c>
    </row>
    <row r="322">
      <c r="D322">
        <f>IF(Journal!X322="","",SUM(Journal!$X$2:X322))</f>
        <v/>
      </c>
      <c r="E322">
        <f>IF(D322="","",MAX(0,MAX($D$2:D322)))</f>
        <v/>
      </c>
      <c r="F322">
        <f>IF(D322="","",E322-D322)</f>
        <v/>
      </c>
    </row>
    <row r="323">
      <c r="D323">
        <f>IF(Journal!X323="","",SUM(Journal!$X$2:X323))</f>
        <v/>
      </c>
      <c r="E323">
        <f>IF(D323="","",MAX(0,MAX($D$2:D323)))</f>
        <v/>
      </c>
      <c r="F323">
        <f>IF(D323="","",E323-D323)</f>
        <v/>
      </c>
    </row>
    <row r="324">
      <c r="D324">
        <f>IF(Journal!X324="","",SUM(Journal!$X$2:X324))</f>
        <v/>
      </c>
      <c r="E324">
        <f>IF(D324="","",MAX(0,MAX($D$2:D324)))</f>
        <v/>
      </c>
      <c r="F324">
        <f>IF(D324="","",E324-D324)</f>
        <v/>
      </c>
    </row>
    <row r="325">
      <c r="D325">
        <f>IF(Journal!X325="","",SUM(Journal!$X$2:X325))</f>
        <v/>
      </c>
      <c r="E325">
        <f>IF(D325="","",MAX(0,MAX($D$2:D325)))</f>
        <v/>
      </c>
      <c r="F325">
        <f>IF(D325="","",E325-D325)</f>
        <v/>
      </c>
    </row>
    <row r="326">
      <c r="D326">
        <f>IF(Journal!X326="","",SUM(Journal!$X$2:X326))</f>
        <v/>
      </c>
      <c r="E326">
        <f>IF(D326="","",MAX(0,MAX($D$2:D326)))</f>
        <v/>
      </c>
      <c r="F326">
        <f>IF(D326="","",E326-D326)</f>
        <v/>
      </c>
    </row>
    <row r="327">
      <c r="D327">
        <f>IF(Journal!X327="","",SUM(Journal!$X$2:X327))</f>
        <v/>
      </c>
      <c r="E327">
        <f>IF(D327="","",MAX(0,MAX($D$2:D327)))</f>
        <v/>
      </c>
      <c r="F327">
        <f>IF(D327="","",E327-D327)</f>
        <v/>
      </c>
    </row>
    <row r="328">
      <c r="D328">
        <f>IF(Journal!X328="","",SUM(Journal!$X$2:X328))</f>
        <v/>
      </c>
      <c r="E328">
        <f>IF(D328="","",MAX(0,MAX($D$2:D328)))</f>
        <v/>
      </c>
      <c r="F328">
        <f>IF(D328="","",E328-D328)</f>
        <v/>
      </c>
    </row>
    <row r="329">
      <c r="D329">
        <f>IF(Journal!X329="","",SUM(Journal!$X$2:X329))</f>
        <v/>
      </c>
      <c r="E329">
        <f>IF(D329="","",MAX(0,MAX($D$2:D329)))</f>
        <v/>
      </c>
      <c r="F329">
        <f>IF(D329="","",E329-D329)</f>
        <v/>
      </c>
    </row>
    <row r="330">
      <c r="D330">
        <f>IF(Journal!X330="","",SUM(Journal!$X$2:X330))</f>
        <v/>
      </c>
      <c r="E330">
        <f>IF(D330="","",MAX(0,MAX($D$2:D330)))</f>
        <v/>
      </c>
      <c r="F330">
        <f>IF(D330="","",E330-D330)</f>
        <v/>
      </c>
    </row>
    <row r="331">
      <c r="D331">
        <f>IF(Journal!X331="","",SUM(Journal!$X$2:X331))</f>
        <v/>
      </c>
      <c r="E331">
        <f>IF(D331="","",MAX(0,MAX($D$2:D331)))</f>
        <v/>
      </c>
      <c r="F331">
        <f>IF(D331="","",E331-D331)</f>
        <v/>
      </c>
    </row>
    <row r="332">
      <c r="D332">
        <f>IF(Journal!X332="","",SUM(Journal!$X$2:X332))</f>
        <v/>
      </c>
      <c r="E332">
        <f>IF(D332="","",MAX(0,MAX($D$2:D332)))</f>
        <v/>
      </c>
      <c r="F332">
        <f>IF(D332="","",E332-D332)</f>
        <v/>
      </c>
    </row>
    <row r="333">
      <c r="D333">
        <f>IF(Journal!X333="","",SUM(Journal!$X$2:X333))</f>
        <v/>
      </c>
      <c r="E333">
        <f>IF(D333="","",MAX(0,MAX($D$2:D333)))</f>
        <v/>
      </c>
      <c r="F333">
        <f>IF(D333="","",E333-D333)</f>
        <v/>
      </c>
    </row>
    <row r="334">
      <c r="D334">
        <f>IF(Journal!X334="","",SUM(Journal!$X$2:X334))</f>
        <v/>
      </c>
      <c r="E334">
        <f>IF(D334="","",MAX(0,MAX($D$2:D334)))</f>
        <v/>
      </c>
      <c r="F334">
        <f>IF(D334="","",E334-D334)</f>
        <v/>
      </c>
    </row>
    <row r="335">
      <c r="D335">
        <f>IF(Journal!X335="","",SUM(Journal!$X$2:X335))</f>
        <v/>
      </c>
      <c r="E335">
        <f>IF(D335="","",MAX(0,MAX($D$2:D335)))</f>
        <v/>
      </c>
      <c r="F335">
        <f>IF(D335="","",E335-D335)</f>
        <v/>
      </c>
    </row>
    <row r="336">
      <c r="D336">
        <f>IF(Journal!X336="","",SUM(Journal!$X$2:X336))</f>
        <v/>
      </c>
      <c r="E336">
        <f>IF(D336="","",MAX(0,MAX($D$2:D336)))</f>
        <v/>
      </c>
      <c r="F336">
        <f>IF(D336="","",E336-D336)</f>
        <v/>
      </c>
    </row>
    <row r="337">
      <c r="D337">
        <f>IF(Journal!X337="","",SUM(Journal!$X$2:X337))</f>
        <v/>
      </c>
      <c r="E337">
        <f>IF(D337="","",MAX(0,MAX($D$2:D337)))</f>
        <v/>
      </c>
      <c r="F337">
        <f>IF(D337="","",E337-D337)</f>
        <v/>
      </c>
    </row>
    <row r="338">
      <c r="D338">
        <f>IF(Journal!X338="","",SUM(Journal!$X$2:X338))</f>
        <v/>
      </c>
      <c r="E338">
        <f>IF(D338="","",MAX(0,MAX($D$2:D338)))</f>
        <v/>
      </c>
      <c r="F338">
        <f>IF(D338="","",E338-D338)</f>
        <v/>
      </c>
    </row>
    <row r="339">
      <c r="D339">
        <f>IF(Journal!X339="","",SUM(Journal!$X$2:X339))</f>
        <v/>
      </c>
      <c r="E339">
        <f>IF(D339="","",MAX(0,MAX($D$2:D339)))</f>
        <v/>
      </c>
      <c r="F339">
        <f>IF(D339="","",E339-D339)</f>
        <v/>
      </c>
    </row>
    <row r="340">
      <c r="D340">
        <f>IF(Journal!X340="","",SUM(Journal!$X$2:X340))</f>
        <v/>
      </c>
      <c r="E340">
        <f>IF(D340="","",MAX(0,MAX($D$2:D340)))</f>
        <v/>
      </c>
      <c r="F340">
        <f>IF(D340="","",E340-D340)</f>
        <v/>
      </c>
    </row>
    <row r="341">
      <c r="D341">
        <f>IF(Journal!X341="","",SUM(Journal!$X$2:X341))</f>
        <v/>
      </c>
      <c r="E341">
        <f>IF(D341="","",MAX(0,MAX($D$2:D341)))</f>
        <v/>
      </c>
      <c r="F341">
        <f>IF(D341="","",E341-D341)</f>
        <v/>
      </c>
    </row>
    <row r="342">
      <c r="D342">
        <f>IF(Journal!X342="","",SUM(Journal!$X$2:X342))</f>
        <v/>
      </c>
      <c r="E342">
        <f>IF(D342="","",MAX(0,MAX($D$2:D342)))</f>
        <v/>
      </c>
      <c r="F342">
        <f>IF(D342="","",E342-D342)</f>
        <v/>
      </c>
    </row>
    <row r="343">
      <c r="D343">
        <f>IF(Journal!X343="","",SUM(Journal!$X$2:X343))</f>
        <v/>
      </c>
      <c r="E343">
        <f>IF(D343="","",MAX(0,MAX($D$2:D343)))</f>
        <v/>
      </c>
      <c r="F343">
        <f>IF(D343="","",E343-D343)</f>
        <v/>
      </c>
    </row>
    <row r="344">
      <c r="D344">
        <f>IF(Journal!X344="","",SUM(Journal!$X$2:X344))</f>
        <v/>
      </c>
      <c r="E344">
        <f>IF(D344="","",MAX(0,MAX($D$2:D344)))</f>
        <v/>
      </c>
      <c r="F344">
        <f>IF(D344="","",E344-D344)</f>
        <v/>
      </c>
    </row>
    <row r="345">
      <c r="D345">
        <f>IF(Journal!X345="","",SUM(Journal!$X$2:X345))</f>
        <v/>
      </c>
      <c r="E345">
        <f>IF(D345="","",MAX(0,MAX($D$2:D345)))</f>
        <v/>
      </c>
      <c r="F345">
        <f>IF(D345="","",E345-D345)</f>
        <v/>
      </c>
    </row>
    <row r="346">
      <c r="D346">
        <f>IF(Journal!X346="","",SUM(Journal!$X$2:X346))</f>
        <v/>
      </c>
      <c r="E346">
        <f>IF(D346="","",MAX(0,MAX($D$2:D346)))</f>
        <v/>
      </c>
      <c r="F346">
        <f>IF(D346="","",E346-D346)</f>
        <v/>
      </c>
    </row>
    <row r="347">
      <c r="D347">
        <f>IF(Journal!X347="","",SUM(Journal!$X$2:X347))</f>
        <v/>
      </c>
      <c r="E347">
        <f>IF(D347="","",MAX(0,MAX($D$2:D347)))</f>
        <v/>
      </c>
      <c r="F347">
        <f>IF(D347="","",E347-D347)</f>
        <v/>
      </c>
    </row>
    <row r="348">
      <c r="D348">
        <f>IF(Journal!X348="","",SUM(Journal!$X$2:X348))</f>
        <v/>
      </c>
      <c r="E348">
        <f>IF(D348="","",MAX(0,MAX($D$2:D348)))</f>
        <v/>
      </c>
      <c r="F348">
        <f>IF(D348="","",E348-D348)</f>
        <v/>
      </c>
    </row>
    <row r="349">
      <c r="D349">
        <f>IF(Journal!X349="","",SUM(Journal!$X$2:X349))</f>
        <v/>
      </c>
      <c r="E349">
        <f>IF(D349="","",MAX(0,MAX($D$2:D349)))</f>
        <v/>
      </c>
      <c r="F349">
        <f>IF(D349="","",E349-D349)</f>
        <v/>
      </c>
    </row>
    <row r="350">
      <c r="D350">
        <f>IF(Journal!X350="","",SUM(Journal!$X$2:X350))</f>
        <v/>
      </c>
      <c r="E350">
        <f>IF(D350="","",MAX(0,MAX($D$2:D350)))</f>
        <v/>
      </c>
      <c r="F350">
        <f>IF(D350="","",E350-D350)</f>
        <v/>
      </c>
    </row>
    <row r="351">
      <c r="D351">
        <f>IF(Journal!X351="","",SUM(Journal!$X$2:X351))</f>
        <v/>
      </c>
      <c r="E351">
        <f>IF(D351="","",MAX(0,MAX($D$2:D351)))</f>
        <v/>
      </c>
      <c r="F351">
        <f>IF(D351="","",E351-D351)</f>
        <v/>
      </c>
    </row>
    <row r="352">
      <c r="D352">
        <f>IF(Journal!X352="","",SUM(Journal!$X$2:X352))</f>
        <v/>
      </c>
      <c r="E352">
        <f>IF(D352="","",MAX(0,MAX($D$2:D352)))</f>
        <v/>
      </c>
      <c r="F352">
        <f>IF(D352="","",E352-D352)</f>
        <v/>
      </c>
    </row>
    <row r="353">
      <c r="D353">
        <f>IF(Journal!X353="","",SUM(Journal!$X$2:X353))</f>
        <v/>
      </c>
      <c r="E353">
        <f>IF(D353="","",MAX(0,MAX($D$2:D353)))</f>
        <v/>
      </c>
      <c r="F353">
        <f>IF(D353="","",E353-D353)</f>
        <v/>
      </c>
    </row>
    <row r="354">
      <c r="D354">
        <f>IF(Journal!X354="","",SUM(Journal!$X$2:X354))</f>
        <v/>
      </c>
      <c r="E354">
        <f>IF(D354="","",MAX(0,MAX($D$2:D354)))</f>
        <v/>
      </c>
      <c r="F354">
        <f>IF(D354="","",E354-D354)</f>
        <v/>
      </c>
    </row>
    <row r="355">
      <c r="D355">
        <f>IF(Journal!X355="","",SUM(Journal!$X$2:X355))</f>
        <v/>
      </c>
      <c r="E355">
        <f>IF(D355="","",MAX(0,MAX($D$2:D355)))</f>
        <v/>
      </c>
      <c r="F355">
        <f>IF(D355="","",E355-D355)</f>
        <v/>
      </c>
    </row>
    <row r="356">
      <c r="D356">
        <f>IF(Journal!X356="","",SUM(Journal!$X$2:X356))</f>
        <v/>
      </c>
      <c r="E356">
        <f>IF(D356="","",MAX(0,MAX($D$2:D356)))</f>
        <v/>
      </c>
      <c r="F356">
        <f>IF(D356="","",E356-D356)</f>
        <v/>
      </c>
    </row>
    <row r="357">
      <c r="D357">
        <f>IF(Journal!X357="","",SUM(Journal!$X$2:X357))</f>
        <v/>
      </c>
      <c r="E357">
        <f>IF(D357="","",MAX(0,MAX($D$2:D357)))</f>
        <v/>
      </c>
      <c r="F357">
        <f>IF(D357="","",E357-D357)</f>
        <v/>
      </c>
    </row>
    <row r="358">
      <c r="D358">
        <f>IF(Journal!X358="","",SUM(Journal!$X$2:X358))</f>
        <v/>
      </c>
      <c r="E358">
        <f>IF(D358="","",MAX(0,MAX($D$2:D358)))</f>
        <v/>
      </c>
      <c r="F358">
        <f>IF(D358="","",E358-D358)</f>
        <v/>
      </c>
    </row>
    <row r="359">
      <c r="D359">
        <f>IF(Journal!X359="","",SUM(Journal!$X$2:X359))</f>
        <v/>
      </c>
      <c r="E359">
        <f>IF(D359="","",MAX(0,MAX($D$2:D359)))</f>
        <v/>
      </c>
      <c r="F359">
        <f>IF(D359="","",E359-D359)</f>
        <v/>
      </c>
    </row>
    <row r="360">
      <c r="D360">
        <f>IF(Journal!X360="","",SUM(Journal!$X$2:X360))</f>
        <v/>
      </c>
      <c r="E360">
        <f>IF(D360="","",MAX(0,MAX($D$2:D360)))</f>
        <v/>
      </c>
      <c r="F360">
        <f>IF(D360="","",E360-D360)</f>
        <v/>
      </c>
    </row>
    <row r="361">
      <c r="D361">
        <f>IF(Journal!X361="","",SUM(Journal!$X$2:X361))</f>
        <v/>
      </c>
      <c r="E361">
        <f>IF(D361="","",MAX(0,MAX($D$2:D361)))</f>
        <v/>
      </c>
      <c r="F361">
        <f>IF(D361="","",E361-D361)</f>
        <v/>
      </c>
    </row>
    <row r="362">
      <c r="D362">
        <f>IF(Journal!X362="","",SUM(Journal!$X$2:X362))</f>
        <v/>
      </c>
      <c r="E362">
        <f>IF(D362="","",MAX(0,MAX($D$2:D362)))</f>
        <v/>
      </c>
      <c r="F362">
        <f>IF(D362="","",E362-D362)</f>
        <v/>
      </c>
    </row>
    <row r="363">
      <c r="D363">
        <f>IF(Journal!X363="","",SUM(Journal!$X$2:X363))</f>
        <v/>
      </c>
      <c r="E363">
        <f>IF(D363="","",MAX(0,MAX($D$2:D363)))</f>
        <v/>
      </c>
      <c r="F363">
        <f>IF(D363="","",E363-D363)</f>
        <v/>
      </c>
    </row>
    <row r="364">
      <c r="D364">
        <f>IF(Journal!X364="","",SUM(Journal!$X$2:X364))</f>
        <v/>
      </c>
      <c r="E364">
        <f>IF(D364="","",MAX(0,MAX($D$2:D364)))</f>
        <v/>
      </c>
      <c r="F364">
        <f>IF(D364="","",E364-D364)</f>
        <v/>
      </c>
    </row>
    <row r="365">
      <c r="D365">
        <f>IF(Journal!X365="","",SUM(Journal!$X$2:X365))</f>
        <v/>
      </c>
      <c r="E365">
        <f>IF(D365="","",MAX(0,MAX($D$2:D365)))</f>
        <v/>
      </c>
      <c r="F365">
        <f>IF(D365="","",E365-D365)</f>
        <v/>
      </c>
    </row>
    <row r="366">
      <c r="D366">
        <f>IF(Journal!X366="","",SUM(Journal!$X$2:X366))</f>
        <v/>
      </c>
      <c r="E366">
        <f>IF(D366="","",MAX(0,MAX($D$2:D366)))</f>
        <v/>
      </c>
      <c r="F366">
        <f>IF(D366="","",E366-D366)</f>
        <v/>
      </c>
    </row>
    <row r="367">
      <c r="D367">
        <f>IF(Journal!X367="","",SUM(Journal!$X$2:X367))</f>
        <v/>
      </c>
      <c r="E367">
        <f>IF(D367="","",MAX(0,MAX($D$2:D367)))</f>
        <v/>
      </c>
      <c r="F367">
        <f>IF(D367="","",E367-D367)</f>
        <v/>
      </c>
    </row>
    <row r="368">
      <c r="D368">
        <f>IF(Journal!X368="","",SUM(Journal!$X$2:X368))</f>
        <v/>
      </c>
      <c r="E368">
        <f>IF(D368="","",MAX(0,MAX($D$2:D368)))</f>
        <v/>
      </c>
      <c r="F368">
        <f>IF(D368="","",E368-D368)</f>
        <v/>
      </c>
    </row>
    <row r="369">
      <c r="D369">
        <f>IF(Journal!X369="","",SUM(Journal!$X$2:X369))</f>
        <v/>
      </c>
      <c r="E369">
        <f>IF(D369="","",MAX(0,MAX($D$2:D369)))</f>
        <v/>
      </c>
      <c r="F369">
        <f>IF(D369="","",E369-D369)</f>
        <v/>
      </c>
    </row>
    <row r="370">
      <c r="D370">
        <f>IF(Journal!X370="","",SUM(Journal!$X$2:X370))</f>
        <v/>
      </c>
      <c r="E370">
        <f>IF(D370="","",MAX(0,MAX($D$2:D370)))</f>
        <v/>
      </c>
      <c r="F370">
        <f>IF(D370="","",E370-D370)</f>
        <v/>
      </c>
    </row>
    <row r="371">
      <c r="D371">
        <f>IF(Journal!X371="","",SUM(Journal!$X$2:X371))</f>
        <v/>
      </c>
      <c r="E371">
        <f>IF(D371="","",MAX(0,MAX($D$2:D371)))</f>
        <v/>
      </c>
      <c r="F371">
        <f>IF(D371="","",E371-D371)</f>
        <v/>
      </c>
    </row>
    <row r="372">
      <c r="D372">
        <f>IF(Journal!X372="","",SUM(Journal!$X$2:X372))</f>
        <v/>
      </c>
      <c r="E372">
        <f>IF(D372="","",MAX(0,MAX($D$2:D372)))</f>
        <v/>
      </c>
      <c r="F372">
        <f>IF(D372="","",E372-D372)</f>
        <v/>
      </c>
    </row>
    <row r="373">
      <c r="D373">
        <f>IF(Journal!X373="","",SUM(Journal!$X$2:X373))</f>
        <v/>
      </c>
      <c r="E373">
        <f>IF(D373="","",MAX(0,MAX($D$2:D373)))</f>
        <v/>
      </c>
      <c r="F373">
        <f>IF(D373="","",E373-D373)</f>
        <v/>
      </c>
    </row>
    <row r="374">
      <c r="D374">
        <f>IF(Journal!X374="","",SUM(Journal!$X$2:X374))</f>
        <v/>
      </c>
      <c r="E374">
        <f>IF(D374="","",MAX(0,MAX($D$2:D374)))</f>
        <v/>
      </c>
      <c r="F374">
        <f>IF(D374="","",E374-D374)</f>
        <v/>
      </c>
    </row>
    <row r="375">
      <c r="D375">
        <f>IF(Journal!X375="","",SUM(Journal!$X$2:X375))</f>
        <v/>
      </c>
      <c r="E375">
        <f>IF(D375="","",MAX(0,MAX($D$2:D375)))</f>
        <v/>
      </c>
      <c r="F375">
        <f>IF(D375="","",E375-D375)</f>
        <v/>
      </c>
    </row>
    <row r="376">
      <c r="D376">
        <f>IF(Journal!X376="","",SUM(Journal!$X$2:X376))</f>
        <v/>
      </c>
      <c r="E376">
        <f>IF(D376="","",MAX(0,MAX($D$2:D376)))</f>
        <v/>
      </c>
      <c r="F376">
        <f>IF(D376="","",E376-D376)</f>
        <v/>
      </c>
    </row>
    <row r="377">
      <c r="D377">
        <f>IF(Journal!X377="","",SUM(Journal!$X$2:X377))</f>
        <v/>
      </c>
      <c r="E377">
        <f>IF(D377="","",MAX(0,MAX($D$2:D377)))</f>
        <v/>
      </c>
      <c r="F377">
        <f>IF(D377="","",E377-D377)</f>
        <v/>
      </c>
    </row>
    <row r="378">
      <c r="D378">
        <f>IF(Journal!X378="","",SUM(Journal!$X$2:X378))</f>
        <v/>
      </c>
      <c r="E378">
        <f>IF(D378="","",MAX(0,MAX($D$2:D378)))</f>
        <v/>
      </c>
      <c r="F378">
        <f>IF(D378="","",E378-D378)</f>
        <v/>
      </c>
    </row>
    <row r="379">
      <c r="D379">
        <f>IF(Journal!X379="","",SUM(Journal!$X$2:X379))</f>
        <v/>
      </c>
      <c r="E379">
        <f>IF(D379="","",MAX(0,MAX($D$2:D379)))</f>
        <v/>
      </c>
      <c r="F379">
        <f>IF(D379="","",E379-D379)</f>
        <v/>
      </c>
    </row>
    <row r="380">
      <c r="D380">
        <f>IF(Journal!X380="","",SUM(Journal!$X$2:X380))</f>
        <v/>
      </c>
      <c r="E380">
        <f>IF(D380="","",MAX(0,MAX($D$2:D380)))</f>
        <v/>
      </c>
      <c r="F380">
        <f>IF(D380="","",E380-D380)</f>
        <v/>
      </c>
    </row>
    <row r="381">
      <c r="D381">
        <f>IF(Journal!X381="","",SUM(Journal!$X$2:X381))</f>
        <v/>
      </c>
      <c r="E381">
        <f>IF(D381="","",MAX(0,MAX($D$2:D381)))</f>
        <v/>
      </c>
      <c r="F381">
        <f>IF(D381="","",E381-D381)</f>
        <v/>
      </c>
    </row>
    <row r="382">
      <c r="D382">
        <f>IF(Journal!X382="","",SUM(Journal!$X$2:X382))</f>
        <v/>
      </c>
      <c r="E382">
        <f>IF(D382="","",MAX(0,MAX($D$2:D382)))</f>
        <v/>
      </c>
      <c r="F382">
        <f>IF(D382="","",E382-D382)</f>
        <v/>
      </c>
    </row>
    <row r="383">
      <c r="D383">
        <f>IF(Journal!X383="","",SUM(Journal!$X$2:X383))</f>
        <v/>
      </c>
      <c r="E383">
        <f>IF(D383="","",MAX(0,MAX($D$2:D383)))</f>
        <v/>
      </c>
      <c r="F383">
        <f>IF(D383="","",E383-D383)</f>
        <v/>
      </c>
    </row>
    <row r="384">
      <c r="D384">
        <f>IF(Journal!X384="","",SUM(Journal!$X$2:X384))</f>
        <v/>
      </c>
      <c r="E384">
        <f>IF(D384="","",MAX(0,MAX($D$2:D384)))</f>
        <v/>
      </c>
      <c r="F384">
        <f>IF(D384="","",E384-D384)</f>
        <v/>
      </c>
    </row>
    <row r="385">
      <c r="D385">
        <f>IF(Journal!X385="","",SUM(Journal!$X$2:X385))</f>
        <v/>
      </c>
      <c r="E385">
        <f>IF(D385="","",MAX(0,MAX($D$2:D385)))</f>
        <v/>
      </c>
      <c r="F385">
        <f>IF(D385="","",E385-D385)</f>
        <v/>
      </c>
    </row>
    <row r="386">
      <c r="D386">
        <f>IF(Journal!X386="","",SUM(Journal!$X$2:X386))</f>
        <v/>
      </c>
      <c r="E386">
        <f>IF(D386="","",MAX(0,MAX($D$2:D386)))</f>
        <v/>
      </c>
      <c r="F386">
        <f>IF(D386="","",E386-D386)</f>
        <v/>
      </c>
    </row>
    <row r="387">
      <c r="D387">
        <f>IF(Journal!X387="","",SUM(Journal!$X$2:X387))</f>
        <v/>
      </c>
      <c r="E387">
        <f>IF(D387="","",MAX(0,MAX($D$2:D387)))</f>
        <v/>
      </c>
      <c r="F387">
        <f>IF(D387="","",E387-D387)</f>
        <v/>
      </c>
    </row>
    <row r="388">
      <c r="D388">
        <f>IF(Journal!X388="","",SUM(Journal!$X$2:X388))</f>
        <v/>
      </c>
      <c r="E388">
        <f>IF(D388="","",MAX(0,MAX($D$2:D388)))</f>
        <v/>
      </c>
      <c r="F388">
        <f>IF(D388="","",E388-D388)</f>
        <v/>
      </c>
    </row>
    <row r="389">
      <c r="D389">
        <f>IF(Journal!X389="","",SUM(Journal!$X$2:X389))</f>
        <v/>
      </c>
      <c r="E389">
        <f>IF(D389="","",MAX(0,MAX($D$2:D389)))</f>
        <v/>
      </c>
      <c r="F389">
        <f>IF(D389="","",E389-D389)</f>
        <v/>
      </c>
    </row>
    <row r="390">
      <c r="D390">
        <f>IF(Journal!X390="","",SUM(Journal!$X$2:X390))</f>
        <v/>
      </c>
      <c r="E390">
        <f>IF(D390="","",MAX(0,MAX($D$2:D390)))</f>
        <v/>
      </c>
      <c r="F390">
        <f>IF(D390="","",E390-D390)</f>
        <v/>
      </c>
    </row>
    <row r="391">
      <c r="D391">
        <f>IF(Journal!X391="","",SUM(Journal!$X$2:X391))</f>
        <v/>
      </c>
      <c r="E391">
        <f>IF(D391="","",MAX(0,MAX($D$2:D391)))</f>
        <v/>
      </c>
      <c r="F391">
        <f>IF(D391="","",E391-D391)</f>
        <v/>
      </c>
    </row>
    <row r="392">
      <c r="D392">
        <f>IF(Journal!X392="","",SUM(Journal!$X$2:X392))</f>
        <v/>
      </c>
      <c r="E392">
        <f>IF(D392="","",MAX(0,MAX($D$2:D392)))</f>
        <v/>
      </c>
      <c r="F392">
        <f>IF(D392="","",E392-D392)</f>
        <v/>
      </c>
    </row>
    <row r="393">
      <c r="D393">
        <f>IF(Journal!X393="","",SUM(Journal!$X$2:X393))</f>
        <v/>
      </c>
      <c r="E393">
        <f>IF(D393="","",MAX(0,MAX($D$2:D393)))</f>
        <v/>
      </c>
      <c r="F393">
        <f>IF(D393="","",E393-D393)</f>
        <v/>
      </c>
    </row>
    <row r="394">
      <c r="D394">
        <f>IF(Journal!X394="","",SUM(Journal!$X$2:X394))</f>
        <v/>
      </c>
      <c r="E394">
        <f>IF(D394="","",MAX(0,MAX($D$2:D394)))</f>
        <v/>
      </c>
      <c r="F394">
        <f>IF(D394="","",E394-D394)</f>
        <v/>
      </c>
    </row>
    <row r="395">
      <c r="D395">
        <f>IF(Journal!X395="","",SUM(Journal!$X$2:X395))</f>
        <v/>
      </c>
      <c r="E395">
        <f>IF(D395="","",MAX(0,MAX($D$2:D395)))</f>
        <v/>
      </c>
      <c r="F395">
        <f>IF(D395="","",E395-D395)</f>
        <v/>
      </c>
    </row>
    <row r="396">
      <c r="D396">
        <f>IF(Journal!X396="","",SUM(Journal!$X$2:X396))</f>
        <v/>
      </c>
      <c r="E396">
        <f>IF(D396="","",MAX(0,MAX($D$2:D396)))</f>
        <v/>
      </c>
      <c r="F396">
        <f>IF(D396="","",E396-D396)</f>
        <v/>
      </c>
    </row>
    <row r="397">
      <c r="D397">
        <f>IF(Journal!X397="","",SUM(Journal!$X$2:X397))</f>
        <v/>
      </c>
      <c r="E397">
        <f>IF(D397="","",MAX(0,MAX($D$2:D397)))</f>
        <v/>
      </c>
      <c r="F397">
        <f>IF(D397="","",E397-D397)</f>
        <v/>
      </c>
    </row>
    <row r="398">
      <c r="D398">
        <f>IF(Journal!X398="","",SUM(Journal!$X$2:X398))</f>
        <v/>
      </c>
      <c r="E398">
        <f>IF(D398="","",MAX(0,MAX($D$2:D398)))</f>
        <v/>
      </c>
      <c r="F398">
        <f>IF(D398="","",E398-D398)</f>
        <v/>
      </c>
    </row>
    <row r="399">
      <c r="D399">
        <f>IF(Journal!X399="","",SUM(Journal!$X$2:X399))</f>
        <v/>
      </c>
      <c r="E399">
        <f>IF(D399="","",MAX(0,MAX($D$2:D399)))</f>
        <v/>
      </c>
      <c r="F399">
        <f>IF(D399="","",E399-D399)</f>
        <v/>
      </c>
    </row>
    <row r="400">
      <c r="D400">
        <f>IF(Journal!X400="","",SUM(Journal!$X$2:X400))</f>
        <v/>
      </c>
      <c r="E400">
        <f>IF(D400="","",MAX(0,MAX($D$2:D400)))</f>
        <v/>
      </c>
      <c r="F400">
        <f>IF(D400="","",E400-D400)</f>
        <v/>
      </c>
    </row>
    <row r="401">
      <c r="D401">
        <f>IF(Journal!X401="","",SUM(Journal!$X$2:X401))</f>
        <v/>
      </c>
      <c r="E401">
        <f>IF(D401="","",MAX(0,MAX($D$2:D401)))</f>
        <v/>
      </c>
      <c r="F401">
        <f>IF(D401="","",E401-D401)</f>
        <v/>
      </c>
    </row>
    <row r="402">
      <c r="D402">
        <f>IF(Journal!X402="","",SUM(Journal!$X$2:X402))</f>
        <v/>
      </c>
      <c r="E402">
        <f>IF(D402="","",MAX(0,MAX($D$2:D402)))</f>
        <v/>
      </c>
      <c r="F402">
        <f>IF(D402="","",E402-D402)</f>
        <v/>
      </c>
    </row>
    <row r="403">
      <c r="D403">
        <f>IF(Journal!X403="","",SUM(Journal!$X$2:X403))</f>
        <v/>
      </c>
      <c r="E403">
        <f>IF(D403="","",MAX(0,MAX($D$2:D403)))</f>
        <v/>
      </c>
      <c r="F403">
        <f>IF(D403="","",E403-D403)</f>
        <v/>
      </c>
    </row>
    <row r="404">
      <c r="D404">
        <f>IF(Journal!X404="","",SUM(Journal!$X$2:X404))</f>
        <v/>
      </c>
      <c r="E404">
        <f>IF(D404="","",MAX(0,MAX($D$2:D404)))</f>
        <v/>
      </c>
      <c r="F404">
        <f>IF(D404="","",E404-D404)</f>
        <v/>
      </c>
    </row>
    <row r="405">
      <c r="D405">
        <f>IF(Journal!X405="","",SUM(Journal!$X$2:X405))</f>
        <v/>
      </c>
      <c r="E405">
        <f>IF(D405="","",MAX(0,MAX($D$2:D405)))</f>
        <v/>
      </c>
      <c r="F405">
        <f>IF(D405="","",E405-D405)</f>
        <v/>
      </c>
    </row>
    <row r="406">
      <c r="D406">
        <f>IF(Journal!X406="","",SUM(Journal!$X$2:X406))</f>
        <v/>
      </c>
      <c r="E406">
        <f>IF(D406="","",MAX(0,MAX($D$2:D406)))</f>
        <v/>
      </c>
      <c r="F406">
        <f>IF(D406="","",E406-D406)</f>
        <v/>
      </c>
    </row>
    <row r="407">
      <c r="D407">
        <f>IF(Journal!X407="","",SUM(Journal!$X$2:X407))</f>
        <v/>
      </c>
      <c r="E407">
        <f>IF(D407="","",MAX(0,MAX($D$2:D407)))</f>
        <v/>
      </c>
      <c r="F407">
        <f>IF(D407="","",E407-D407)</f>
        <v/>
      </c>
    </row>
    <row r="408">
      <c r="D408">
        <f>IF(Journal!X408="","",SUM(Journal!$X$2:X408))</f>
        <v/>
      </c>
      <c r="E408">
        <f>IF(D408="","",MAX(0,MAX($D$2:D408)))</f>
        <v/>
      </c>
      <c r="F408">
        <f>IF(D408="","",E408-D408)</f>
        <v/>
      </c>
    </row>
    <row r="409">
      <c r="D409">
        <f>IF(Journal!X409="","",SUM(Journal!$X$2:X409))</f>
        <v/>
      </c>
      <c r="E409">
        <f>IF(D409="","",MAX(0,MAX($D$2:D409)))</f>
        <v/>
      </c>
      <c r="F409">
        <f>IF(D409="","",E409-D409)</f>
        <v/>
      </c>
    </row>
    <row r="410">
      <c r="D410">
        <f>IF(Journal!X410="","",SUM(Journal!$X$2:X410))</f>
        <v/>
      </c>
      <c r="E410">
        <f>IF(D410="","",MAX(0,MAX($D$2:D410)))</f>
        <v/>
      </c>
      <c r="F410">
        <f>IF(D410="","",E410-D410)</f>
        <v/>
      </c>
    </row>
    <row r="411">
      <c r="D411">
        <f>IF(Journal!X411="","",SUM(Journal!$X$2:X411))</f>
        <v/>
      </c>
      <c r="E411">
        <f>IF(D411="","",MAX(0,MAX($D$2:D411)))</f>
        <v/>
      </c>
      <c r="F411">
        <f>IF(D411="","",E411-D411)</f>
        <v/>
      </c>
    </row>
    <row r="412">
      <c r="D412">
        <f>IF(Journal!X412="","",SUM(Journal!$X$2:X412))</f>
        <v/>
      </c>
      <c r="E412">
        <f>IF(D412="","",MAX(0,MAX($D$2:D412)))</f>
        <v/>
      </c>
      <c r="F412">
        <f>IF(D412="","",E412-D412)</f>
        <v/>
      </c>
    </row>
    <row r="413">
      <c r="D413">
        <f>IF(Journal!X413="","",SUM(Journal!$X$2:X413))</f>
        <v/>
      </c>
      <c r="E413">
        <f>IF(D413="","",MAX(0,MAX($D$2:D413)))</f>
        <v/>
      </c>
      <c r="F413">
        <f>IF(D413="","",E413-D413)</f>
        <v/>
      </c>
    </row>
    <row r="414">
      <c r="D414">
        <f>IF(Journal!X414="","",SUM(Journal!$X$2:X414))</f>
        <v/>
      </c>
      <c r="E414">
        <f>IF(D414="","",MAX(0,MAX($D$2:D414)))</f>
        <v/>
      </c>
      <c r="F414">
        <f>IF(D414="","",E414-D414)</f>
        <v/>
      </c>
    </row>
    <row r="415">
      <c r="D415">
        <f>IF(Journal!X415="","",SUM(Journal!$X$2:X415))</f>
        <v/>
      </c>
      <c r="E415">
        <f>IF(D415="","",MAX(0,MAX($D$2:D415)))</f>
        <v/>
      </c>
      <c r="F415">
        <f>IF(D415="","",E415-D415)</f>
        <v/>
      </c>
    </row>
    <row r="416">
      <c r="D416">
        <f>IF(Journal!X416="","",SUM(Journal!$X$2:X416))</f>
        <v/>
      </c>
      <c r="E416">
        <f>IF(D416="","",MAX(0,MAX($D$2:D416)))</f>
        <v/>
      </c>
      <c r="F416">
        <f>IF(D416="","",E416-D416)</f>
        <v/>
      </c>
    </row>
    <row r="417">
      <c r="D417">
        <f>IF(Journal!X417="","",SUM(Journal!$X$2:X417))</f>
        <v/>
      </c>
      <c r="E417">
        <f>IF(D417="","",MAX(0,MAX($D$2:D417)))</f>
        <v/>
      </c>
      <c r="F417">
        <f>IF(D417="","",E417-D417)</f>
        <v/>
      </c>
    </row>
    <row r="418">
      <c r="D418">
        <f>IF(Journal!X418="","",SUM(Journal!$X$2:X418))</f>
        <v/>
      </c>
      <c r="E418">
        <f>IF(D418="","",MAX(0,MAX($D$2:D418)))</f>
        <v/>
      </c>
      <c r="F418">
        <f>IF(D418="","",E418-D418)</f>
        <v/>
      </c>
    </row>
    <row r="419">
      <c r="D419">
        <f>IF(Journal!X419="","",SUM(Journal!$X$2:X419))</f>
        <v/>
      </c>
      <c r="E419">
        <f>IF(D419="","",MAX(0,MAX($D$2:D419)))</f>
        <v/>
      </c>
      <c r="F419">
        <f>IF(D419="","",E419-D419)</f>
        <v/>
      </c>
    </row>
    <row r="420">
      <c r="D420">
        <f>IF(Journal!X420="","",SUM(Journal!$X$2:X420))</f>
        <v/>
      </c>
      <c r="E420">
        <f>IF(D420="","",MAX(0,MAX($D$2:D420)))</f>
        <v/>
      </c>
      <c r="F420">
        <f>IF(D420="","",E420-D420)</f>
        <v/>
      </c>
    </row>
    <row r="421">
      <c r="D421">
        <f>IF(Journal!X421="","",SUM(Journal!$X$2:X421))</f>
        <v/>
      </c>
      <c r="E421">
        <f>IF(D421="","",MAX(0,MAX($D$2:D421)))</f>
        <v/>
      </c>
      <c r="F421">
        <f>IF(D421="","",E421-D421)</f>
        <v/>
      </c>
    </row>
    <row r="422">
      <c r="D422">
        <f>IF(Journal!X422="","",SUM(Journal!$X$2:X422))</f>
        <v/>
      </c>
      <c r="E422">
        <f>IF(D422="","",MAX(0,MAX($D$2:D422)))</f>
        <v/>
      </c>
      <c r="F422">
        <f>IF(D422="","",E422-D422)</f>
        <v/>
      </c>
    </row>
    <row r="423">
      <c r="D423">
        <f>IF(Journal!X423="","",SUM(Journal!$X$2:X423))</f>
        <v/>
      </c>
      <c r="E423">
        <f>IF(D423="","",MAX(0,MAX($D$2:D423)))</f>
        <v/>
      </c>
      <c r="F423">
        <f>IF(D423="","",E423-D423)</f>
        <v/>
      </c>
    </row>
    <row r="424">
      <c r="D424">
        <f>IF(Journal!X424="","",SUM(Journal!$X$2:X424))</f>
        <v/>
      </c>
      <c r="E424">
        <f>IF(D424="","",MAX(0,MAX($D$2:D424)))</f>
        <v/>
      </c>
      <c r="F424">
        <f>IF(D424="","",E424-D424)</f>
        <v/>
      </c>
    </row>
    <row r="425">
      <c r="D425">
        <f>IF(Journal!X425="","",SUM(Journal!$X$2:X425))</f>
        <v/>
      </c>
      <c r="E425">
        <f>IF(D425="","",MAX(0,MAX($D$2:D425)))</f>
        <v/>
      </c>
      <c r="F425">
        <f>IF(D425="","",E425-D425)</f>
        <v/>
      </c>
    </row>
    <row r="426">
      <c r="D426">
        <f>IF(Journal!X426="","",SUM(Journal!$X$2:X426))</f>
        <v/>
      </c>
      <c r="E426">
        <f>IF(D426="","",MAX(0,MAX($D$2:D426)))</f>
        <v/>
      </c>
      <c r="F426">
        <f>IF(D426="","",E426-D426)</f>
        <v/>
      </c>
    </row>
    <row r="427">
      <c r="D427">
        <f>IF(Journal!X427="","",SUM(Journal!$X$2:X427))</f>
        <v/>
      </c>
      <c r="E427">
        <f>IF(D427="","",MAX(0,MAX($D$2:D427)))</f>
        <v/>
      </c>
      <c r="F427">
        <f>IF(D427="","",E427-D427)</f>
        <v/>
      </c>
    </row>
    <row r="428">
      <c r="D428">
        <f>IF(Journal!X428="","",SUM(Journal!$X$2:X428))</f>
        <v/>
      </c>
      <c r="E428">
        <f>IF(D428="","",MAX(0,MAX($D$2:D428)))</f>
        <v/>
      </c>
      <c r="F428">
        <f>IF(D428="","",E428-D428)</f>
        <v/>
      </c>
    </row>
    <row r="429">
      <c r="D429">
        <f>IF(Journal!X429="","",SUM(Journal!$X$2:X429))</f>
        <v/>
      </c>
      <c r="E429">
        <f>IF(D429="","",MAX(0,MAX($D$2:D429)))</f>
        <v/>
      </c>
      <c r="F429">
        <f>IF(D429="","",E429-D429)</f>
        <v/>
      </c>
    </row>
    <row r="430">
      <c r="D430">
        <f>IF(Journal!X430="","",SUM(Journal!$X$2:X430))</f>
        <v/>
      </c>
      <c r="E430">
        <f>IF(D430="","",MAX(0,MAX($D$2:D430)))</f>
        <v/>
      </c>
      <c r="F430">
        <f>IF(D430="","",E430-D430)</f>
        <v/>
      </c>
    </row>
    <row r="431">
      <c r="D431">
        <f>IF(Journal!X431="","",SUM(Journal!$X$2:X431))</f>
        <v/>
      </c>
      <c r="E431">
        <f>IF(D431="","",MAX(0,MAX($D$2:D431)))</f>
        <v/>
      </c>
      <c r="F431">
        <f>IF(D431="","",E431-D431)</f>
        <v/>
      </c>
    </row>
    <row r="432">
      <c r="D432">
        <f>IF(Journal!X432="","",SUM(Journal!$X$2:X432))</f>
        <v/>
      </c>
      <c r="E432">
        <f>IF(D432="","",MAX(0,MAX($D$2:D432)))</f>
        <v/>
      </c>
      <c r="F432">
        <f>IF(D432="","",E432-D432)</f>
        <v/>
      </c>
    </row>
    <row r="433">
      <c r="D433">
        <f>IF(Journal!X433="","",SUM(Journal!$X$2:X433))</f>
        <v/>
      </c>
      <c r="E433">
        <f>IF(D433="","",MAX(0,MAX($D$2:D433)))</f>
        <v/>
      </c>
      <c r="F433">
        <f>IF(D433="","",E433-D433)</f>
        <v/>
      </c>
    </row>
    <row r="434">
      <c r="D434">
        <f>IF(Journal!X434="","",SUM(Journal!$X$2:X434))</f>
        <v/>
      </c>
      <c r="E434">
        <f>IF(D434="","",MAX(0,MAX($D$2:D434)))</f>
        <v/>
      </c>
      <c r="F434">
        <f>IF(D434="","",E434-D434)</f>
        <v/>
      </c>
    </row>
    <row r="435">
      <c r="D435">
        <f>IF(Journal!X435="","",SUM(Journal!$X$2:X435))</f>
        <v/>
      </c>
      <c r="E435">
        <f>IF(D435="","",MAX(0,MAX($D$2:D435)))</f>
        <v/>
      </c>
      <c r="F435">
        <f>IF(D435="","",E435-D435)</f>
        <v/>
      </c>
    </row>
    <row r="436">
      <c r="D436">
        <f>IF(Journal!X436="","",SUM(Journal!$X$2:X436))</f>
        <v/>
      </c>
      <c r="E436">
        <f>IF(D436="","",MAX(0,MAX($D$2:D436)))</f>
        <v/>
      </c>
      <c r="F436">
        <f>IF(D436="","",E436-D436)</f>
        <v/>
      </c>
    </row>
    <row r="437">
      <c r="D437">
        <f>IF(Journal!X437="","",SUM(Journal!$X$2:X437))</f>
        <v/>
      </c>
      <c r="E437">
        <f>IF(D437="","",MAX(0,MAX($D$2:D437)))</f>
        <v/>
      </c>
      <c r="F437">
        <f>IF(D437="","",E437-D437)</f>
        <v/>
      </c>
    </row>
    <row r="438">
      <c r="D438">
        <f>IF(Journal!X438="","",SUM(Journal!$X$2:X438))</f>
        <v/>
      </c>
      <c r="E438">
        <f>IF(D438="","",MAX(0,MAX($D$2:D438)))</f>
        <v/>
      </c>
      <c r="F438">
        <f>IF(D438="","",E438-D438)</f>
        <v/>
      </c>
    </row>
    <row r="439">
      <c r="D439">
        <f>IF(Journal!X439="","",SUM(Journal!$X$2:X439))</f>
        <v/>
      </c>
      <c r="E439">
        <f>IF(D439="","",MAX(0,MAX($D$2:D439)))</f>
        <v/>
      </c>
      <c r="F439">
        <f>IF(D439="","",E439-D439)</f>
        <v/>
      </c>
    </row>
    <row r="440">
      <c r="D440">
        <f>IF(Journal!X440="","",SUM(Journal!$X$2:X440))</f>
        <v/>
      </c>
      <c r="E440">
        <f>IF(D440="","",MAX(0,MAX($D$2:D440)))</f>
        <v/>
      </c>
      <c r="F440">
        <f>IF(D440="","",E440-D440)</f>
        <v/>
      </c>
    </row>
    <row r="441">
      <c r="D441">
        <f>IF(Journal!X441="","",SUM(Journal!$X$2:X441))</f>
        <v/>
      </c>
      <c r="E441">
        <f>IF(D441="","",MAX(0,MAX($D$2:D441)))</f>
        <v/>
      </c>
      <c r="F441">
        <f>IF(D441="","",E441-D441)</f>
        <v/>
      </c>
    </row>
    <row r="442">
      <c r="D442">
        <f>IF(Journal!X442="","",SUM(Journal!$X$2:X442))</f>
        <v/>
      </c>
      <c r="E442">
        <f>IF(D442="","",MAX(0,MAX($D$2:D442)))</f>
        <v/>
      </c>
      <c r="F442">
        <f>IF(D442="","",E442-D442)</f>
        <v/>
      </c>
    </row>
    <row r="443">
      <c r="D443">
        <f>IF(Journal!X443="","",SUM(Journal!$X$2:X443))</f>
        <v/>
      </c>
      <c r="E443">
        <f>IF(D443="","",MAX(0,MAX($D$2:D443)))</f>
        <v/>
      </c>
      <c r="F443">
        <f>IF(D443="","",E443-D443)</f>
        <v/>
      </c>
    </row>
    <row r="444">
      <c r="D444">
        <f>IF(Journal!X444="","",SUM(Journal!$X$2:X444))</f>
        <v/>
      </c>
      <c r="E444">
        <f>IF(D444="","",MAX(0,MAX($D$2:D444)))</f>
        <v/>
      </c>
      <c r="F444">
        <f>IF(D444="","",E444-D444)</f>
        <v/>
      </c>
    </row>
    <row r="445">
      <c r="D445">
        <f>IF(Journal!X445="","",SUM(Journal!$X$2:X445))</f>
        <v/>
      </c>
      <c r="E445">
        <f>IF(D445="","",MAX(0,MAX($D$2:D445)))</f>
        <v/>
      </c>
      <c r="F445">
        <f>IF(D445="","",E445-D445)</f>
        <v/>
      </c>
    </row>
    <row r="446">
      <c r="D446">
        <f>IF(Journal!X446="","",SUM(Journal!$X$2:X446))</f>
        <v/>
      </c>
      <c r="E446">
        <f>IF(D446="","",MAX(0,MAX($D$2:D446)))</f>
        <v/>
      </c>
      <c r="F446">
        <f>IF(D446="","",E446-D446)</f>
        <v/>
      </c>
    </row>
    <row r="447">
      <c r="D447">
        <f>IF(Journal!X447="","",SUM(Journal!$X$2:X447))</f>
        <v/>
      </c>
      <c r="E447">
        <f>IF(D447="","",MAX(0,MAX($D$2:D447)))</f>
        <v/>
      </c>
      <c r="F447">
        <f>IF(D447="","",E447-D447)</f>
        <v/>
      </c>
    </row>
    <row r="448">
      <c r="D448">
        <f>IF(Journal!X448="","",SUM(Journal!$X$2:X448))</f>
        <v/>
      </c>
      <c r="E448">
        <f>IF(D448="","",MAX(0,MAX($D$2:D448)))</f>
        <v/>
      </c>
      <c r="F448">
        <f>IF(D448="","",E448-D448)</f>
        <v/>
      </c>
    </row>
    <row r="449">
      <c r="D449">
        <f>IF(Journal!X449="","",SUM(Journal!$X$2:X449))</f>
        <v/>
      </c>
      <c r="E449">
        <f>IF(D449="","",MAX(0,MAX($D$2:D449)))</f>
        <v/>
      </c>
      <c r="F449">
        <f>IF(D449="","",E449-D449)</f>
        <v/>
      </c>
    </row>
    <row r="450">
      <c r="D450">
        <f>IF(Journal!X450="","",SUM(Journal!$X$2:X450))</f>
        <v/>
      </c>
      <c r="E450">
        <f>IF(D450="","",MAX(0,MAX($D$2:D450)))</f>
        <v/>
      </c>
      <c r="F450">
        <f>IF(D450="","",E450-D450)</f>
        <v/>
      </c>
    </row>
    <row r="451">
      <c r="D451">
        <f>IF(Journal!X451="","",SUM(Journal!$X$2:X451))</f>
        <v/>
      </c>
      <c r="E451">
        <f>IF(D451="","",MAX(0,MAX($D$2:D451)))</f>
        <v/>
      </c>
      <c r="F451">
        <f>IF(D451="","",E451-D451)</f>
        <v/>
      </c>
    </row>
    <row r="452">
      <c r="D452">
        <f>IF(Journal!X452="","",SUM(Journal!$X$2:X452))</f>
        <v/>
      </c>
      <c r="E452">
        <f>IF(D452="","",MAX(0,MAX($D$2:D452)))</f>
        <v/>
      </c>
      <c r="F452">
        <f>IF(D452="","",E452-D452)</f>
        <v/>
      </c>
    </row>
    <row r="453">
      <c r="D453">
        <f>IF(Journal!X453="","",SUM(Journal!$X$2:X453))</f>
        <v/>
      </c>
      <c r="E453">
        <f>IF(D453="","",MAX(0,MAX($D$2:D453)))</f>
        <v/>
      </c>
      <c r="F453">
        <f>IF(D453="","",E453-D453)</f>
        <v/>
      </c>
    </row>
    <row r="454">
      <c r="D454">
        <f>IF(Journal!X454="","",SUM(Journal!$X$2:X454))</f>
        <v/>
      </c>
      <c r="E454">
        <f>IF(D454="","",MAX(0,MAX($D$2:D454)))</f>
        <v/>
      </c>
      <c r="F454">
        <f>IF(D454="","",E454-D454)</f>
        <v/>
      </c>
    </row>
    <row r="455">
      <c r="D455">
        <f>IF(Journal!X455="","",SUM(Journal!$X$2:X455))</f>
        <v/>
      </c>
      <c r="E455">
        <f>IF(D455="","",MAX(0,MAX($D$2:D455)))</f>
        <v/>
      </c>
      <c r="F455">
        <f>IF(D455="","",E455-D455)</f>
        <v/>
      </c>
    </row>
    <row r="456">
      <c r="D456">
        <f>IF(Journal!X456="","",SUM(Journal!$X$2:X456))</f>
        <v/>
      </c>
      <c r="E456">
        <f>IF(D456="","",MAX(0,MAX($D$2:D456)))</f>
        <v/>
      </c>
      <c r="F456">
        <f>IF(D456="","",E456-D456)</f>
        <v/>
      </c>
    </row>
    <row r="457">
      <c r="D457">
        <f>IF(Journal!X457="","",SUM(Journal!$X$2:X457))</f>
        <v/>
      </c>
      <c r="E457">
        <f>IF(D457="","",MAX(0,MAX($D$2:D457)))</f>
        <v/>
      </c>
      <c r="F457">
        <f>IF(D457="","",E457-D457)</f>
        <v/>
      </c>
    </row>
    <row r="458">
      <c r="D458">
        <f>IF(Journal!X458="","",SUM(Journal!$X$2:X458))</f>
        <v/>
      </c>
      <c r="E458">
        <f>IF(D458="","",MAX(0,MAX($D$2:D458)))</f>
        <v/>
      </c>
      <c r="F458">
        <f>IF(D458="","",E458-D458)</f>
        <v/>
      </c>
    </row>
    <row r="459">
      <c r="D459">
        <f>IF(Journal!X459="","",SUM(Journal!$X$2:X459))</f>
        <v/>
      </c>
      <c r="E459">
        <f>IF(D459="","",MAX(0,MAX($D$2:D459)))</f>
        <v/>
      </c>
      <c r="F459">
        <f>IF(D459="","",E459-D459)</f>
        <v/>
      </c>
    </row>
    <row r="460">
      <c r="D460">
        <f>IF(Journal!X460="","",SUM(Journal!$X$2:X460))</f>
        <v/>
      </c>
      <c r="E460">
        <f>IF(D460="","",MAX(0,MAX($D$2:D460)))</f>
        <v/>
      </c>
      <c r="F460">
        <f>IF(D460="","",E460-D460)</f>
        <v/>
      </c>
    </row>
    <row r="461">
      <c r="D461">
        <f>IF(Journal!X461="","",SUM(Journal!$X$2:X461))</f>
        <v/>
      </c>
      <c r="E461">
        <f>IF(D461="","",MAX(0,MAX($D$2:D461)))</f>
        <v/>
      </c>
      <c r="F461">
        <f>IF(D461="","",E461-D461)</f>
        <v/>
      </c>
    </row>
    <row r="462">
      <c r="D462">
        <f>IF(Journal!X462="","",SUM(Journal!$X$2:X462))</f>
        <v/>
      </c>
      <c r="E462">
        <f>IF(D462="","",MAX(0,MAX($D$2:D462)))</f>
        <v/>
      </c>
      <c r="F462">
        <f>IF(D462="","",E462-D462)</f>
        <v/>
      </c>
    </row>
    <row r="463">
      <c r="D463">
        <f>IF(Journal!X463="","",SUM(Journal!$X$2:X463))</f>
        <v/>
      </c>
      <c r="E463">
        <f>IF(D463="","",MAX(0,MAX($D$2:D463)))</f>
        <v/>
      </c>
      <c r="F463">
        <f>IF(D463="","",E463-D463)</f>
        <v/>
      </c>
    </row>
    <row r="464">
      <c r="D464">
        <f>IF(Journal!X464="","",SUM(Journal!$X$2:X464))</f>
        <v/>
      </c>
      <c r="E464">
        <f>IF(D464="","",MAX(0,MAX($D$2:D464)))</f>
        <v/>
      </c>
      <c r="F464">
        <f>IF(D464="","",E464-D464)</f>
        <v/>
      </c>
    </row>
    <row r="465">
      <c r="D465">
        <f>IF(Journal!X465="","",SUM(Journal!$X$2:X465))</f>
        <v/>
      </c>
      <c r="E465">
        <f>IF(D465="","",MAX(0,MAX($D$2:D465)))</f>
        <v/>
      </c>
      <c r="F465">
        <f>IF(D465="","",E465-D465)</f>
        <v/>
      </c>
    </row>
    <row r="466">
      <c r="D466">
        <f>IF(Journal!X466="","",SUM(Journal!$X$2:X466))</f>
        <v/>
      </c>
      <c r="E466">
        <f>IF(D466="","",MAX(0,MAX($D$2:D466)))</f>
        <v/>
      </c>
      <c r="F466">
        <f>IF(D466="","",E466-D466)</f>
        <v/>
      </c>
    </row>
    <row r="467">
      <c r="D467">
        <f>IF(Journal!X467="","",SUM(Journal!$X$2:X467))</f>
        <v/>
      </c>
      <c r="E467">
        <f>IF(D467="","",MAX(0,MAX($D$2:D467)))</f>
        <v/>
      </c>
      <c r="F467">
        <f>IF(D467="","",E467-D467)</f>
        <v/>
      </c>
    </row>
    <row r="468">
      <c r="D468">
        <f>IF(Journal!X468="","",SUM(Journal!$X$2:X468))</f>
        <v/>
      </c>
      <c r="E468">
        <f>IF(D468="","",MAX(0,MAX($D$2:D468)))</f>
        <v/>
      </c>
      <c r="F468">
        <f>IF(D468="","",E468-D468)</f>
        <v/>
      </c>
    </row>
    <row r="469">
      <c r="D469">
        <f>IF(Journal!X469="","",SUM(Journal!$X$2:X469))</f>
        <v/>
      </c>
      <c r="E469">
        <f>IF(D469="","",MAX(0,MAX($D$2:D469)))</f>
        <v/>
      </c>
      <c r="F469">
        <f>IF(D469="","",E469-D469)</f>
        <v/>
      </c>
    </row>
    <row r="470">
      <c r="D470">
        <f>IF(Journal!X470="","",SUM(Journal!$X$2:X470))</f>
        <v/>
      </c>
      <c r="E470">
        <f>IF(D470="","",MAX(0,MAX($D$2:D470)))</f>
        <v/>
      </c>
      <c r="F470">
        <f>IF(D470="","",E470-D470)</f>
        <v/>
      </c>
    </row>
    <row r="471">
      <c r="D471">
        <f>IF(Journal!X471="","",SUM(Journal!$X$2:X471))</f>
        <v/>
      </c>
      <c r="E471">
        <f>IF(D471="","",MAX(0,MAX($D$2:D471)))</f>
        <v/>
      </c>
      <c r="F471">
        <f>IF(D471="","",E471-D471)</f>
        <v/>
      </c>
    </row>
    <row r="472">
      <c r="D472">
        <f>IF(Journal!X472="","",SUM(Journal!$X$2:X472))</f>
        <v/>
      </c>
      <c r="E472">
        <f>IF(D472="","",MAX(0,MAX($D$2:D472)))</f>
        <v/>
      </c>
      <c r="F472">
        <f>IF(D472="","",E472-D472)</f>
        <v/>
      </c>
    </row>
    <row r="473">
      <c r="D473">
        <f>IF(Journal!X473="","",SUM(Journal!$X$2:X473))</f>
        <v/>
      </c>
      <c r="E473">
        <f>IF(D473="","",MAX(0,MAX($D$2:D473)))</f>
        <v/>
      </c>
      <c r="F473">
        <f>IF(D473="","",E473-D473)</f>
        <v/>
      </c>
    </row>
    <row r="474">
      <c r="D474">
        <f>IF(Journal!X474="","",SUM(Journal!$X$2:X474))</f>
        <v/>
      </c>
      <c r="E474">
        <f>IF(D474="","",MAX(0,MAX($D$2:D474)))</f>
        <v/>
      </c>
      <c r="F474">
        <f>IF(D474="","",E474-D474)</f>
        <v/>
      </c>
    </row>
    <row r="475">
      <c r="D475">
        <f>IF(Journal!X475="","",SUM(Journal!$X$2:X475))</f>
        <v/>
      </c>
      <c r="E475">
        <f>IF(D475="","",MAX(0,MAX($D$2:D475)))</f>
        <v/>
      </c>
      <c r="F475">
        <f>IF(D475="","",E475-D475)</f>
        <v/>
      </c>
    </row>
    <row r="476">
      <c r="D476">
        <f>IF(Journal!X476="","",SUM(Journal!$X$2:X476))</f>
        <v/>
      </c>
      <c r="E476">
        <f>IF(D476="","",MAX(0,MAX($D$2:D476)))</f>
        <v/>
      </c>
      <c r="F476">
        <f>IF(D476="","",E476-D476)</f>
        <v/>
      </c>
    </row>
    <row r="477">
      <c r="D477">
        <f>IF(Journal!X477="","",SUM(Journal!$X$2:X477))</f>
        <v/>
      </c>
      <c r="E477">
        <f>IF(D477="","",MAX(0,MAX($D$2:D477)))</f>
        <v/>
      </c>
      <c r="F477">
        <f>IF(D477="","",E477-D477)</f>
        <v/>
      </c>
    </row>
    <row r="478">
      <c r="D478">
        <f>IF(Journal!X478="","",SUM(Journal!$X$2:X478))</f>
        <v/>
      </c>
      <c r="E478">
        <f>IF(D478="","",MAX(0,MAX($D$2:D478)))</f>
        <v/>
      </c>
      <c r="F478">
        <f>IF(D478="","",E478-D478)</f>
        <v/>
      </c>
    </row>
    <row r="479">
      <c r="D479">
        <f>IF(Journal!X479="","",SUM(Journal!$X$2:X479))</f>
        <v/>
      </c>
      <c r="E479">
        <f>IF(D479="","",MAX(0,MAX($D$2:D479)))</f>
        <v/>
      </c>
      <c r="F479">
        <f>IF(D479="","",E479-D479)</f>
        <v/>
      </c>
    </row>
    <row r="480">
      <c r="D480">
        <f>IF(Journal!X480="","",SUM(Journal!$X$2:X480))</f>
        <v/>
      </c>
      <c r="E480">
        <f>IF(D480="","",MAX(0,MAX($D$2:D480)))</f>
        <v/>
      </c>
      <c r="F480">
        <f>IF(D480="","",E480-D480)</f>
        <v/>
      </c>
    </row>
    <row r="481">
      <c r="D481">
        <f>IF(Journal!X481="","",SUM(Journal!$X$2:X481))</f>
        <v/>
      </c>
      <c r="E481">
        <f>IF(D481="","",MAX(0,MAX($D$2:D481)))</f>
        <v/>
      </c>
      <c r="F481">
        <f>IF(D481="","",E481-D481)</f>
        <v/>
      </c>
    </row>
    <row r="482">
      <c r="D482">
        <f>IF(Journal!X482="","",SUM(Journal!$X$2:X482))</f>
        <v/>
      </c>
      <c r="E482">
        <f>IF(D482="","",MAX(0,MAX($D$2:D482)))</f>
        <v/>
      </c>
      <c r="F482">
        <f>IF(D482="","",E482-D482)</f>
        <v/>
      </c>
    </row>
    <row r="483">
      <c r="D483">
        <f>IF(Journal!X483="","",SUM(Journal!$X$2:X483))</f>
        <v/>
      </c>
      <c r="E483">
        <f>IF(D483="","",MAX(0,MAX($D$2:D483)))</f>
        <v/>
      </c>
      <c r="F483">
        <f>IF(D483="","",E483-D483)</f>
        <v/>
      </c>
    </row>
    <row r="484">
      <c r="D484">
        <f>IF(Journal!X484="","",SUM(Journal!$X$2:X484))</f>
        <v/>
      </c>
      <c r="E484">
        <f>IF(D484="","",MAX(0,MAX($D$2:D484)))</f>
        <v/>
      </c>
      <c r="F484">
        <f>IF(D484="","",E484-D484)</f>
        <v/>
      </c>
    </row>
    <row r="485">
      <c r="D485">
        <f>IF(Journal!X485="","",SUM(Journal!$X$2:X485))</f>
        <v/>
      </c>
      <c r="E485">
        <f>IF(D485="","",MAX(0,MAX($D$2:D485)))</f>
        <v/>
      </c>
      <c r="F485">
        <f>IF(D485="","",E485-D485)</f>
        <v/>
      </c>
    </row>
    <row r="486">
      <c r="D486">
        <f>IF(Journal!X486="","",SUM(Journal!$X$2:X486))</f>
        <v/>
      </c>
      <c r="E486">
        <f>IF(D486="","",MAX(0,MAX($D$2:D486)))</f>
        <v/>
      </c>
      <c r="F486">
        <f>IF(D486="","",E486-D486)</f>
        <v/>
      </c>
    </row>
    <row r="487">
      <c r="D487">
        <f>IF(Journal!X487="","",SUM(Journal!$X$2:X487))</f>
        <v/>
      </c>
      <c r="E487">
        <f>IF(D487="","",MAX(0,MAX($D$2:D487)))</f>
        <v/>
      </c>
      <c r="F487">
        <f>IF(D487="","",E487-D487)</f>
        <v/>
      </c>
    </row>
    <row r="488">
      <c r="D488">
        <f>IF(Journal!X488="","",SUM(Journal!$X$2:X488))</f>
        <v/>
      </c>
      <c r="E488">
        <f>IF(D488="","",MAX(0,MAX($D$2:D488)))</f>
        <v/>
      </c>
      <c r="F488">
        <f>IF(D488="","",E488-D488)</f>
        <v/>
      </c>
    </row>
    <row r="489">
      <c r="D489">
        <f>IF(Journal!X489="","",SUM(Journal!$X$2:X489))</f>
        <v/>
      </c>
      <c r="E489">
        <f>IF(D489="","",MAX(0,MAX($D$2:D489)))</f>
        <v/>
      </c>
      <c r="F489">
        <f>IF(D489="","",E489-D489)</f>
        <v/>
      </c>
    </row>
    <row r="490">
      <c r="D490">
        <f>IF(Journal!X490="","",SUM(Journal!$X$2:X490))</f>
        <v/>
      </c>
      <c r="E490">
        <f>IF(D490="","",MAX(0,MAX($D$2:D490)))</f>
        <v/>
      </c>
      <c r="F490">
        <f>IF(D490="","",E490-D490)</f>
        <v/>
      </c>
    </row>
    <row r="491">
      <c r="D491">
        <f>IF(Journal!X491="","",SUM(Journal!$X$2:X491))</f>
        <v/>
      </c>
      <c r="E491">
        <f>IF(D491="","",MAX(0,MAX($D$2:D491)))</f>
        <v/>
      </c>
      <c r="F491">
        <f>IF(D491="","",E491-D491)</f>
        <v/>
      </c>
    </row>
    <row r="492">
      <c r="D492">
        <f>IF(Journal!X492="","",SUM(Journal!$X$2:X492))</f>
        <v/>
      </c>
      <c r="E492">
        <f>IF(D492="","",MAX(0,MAX($D$2:D492)))</f>
        <v/>
      </c>
      <c r="F492">
        <f>IF(D492="","",E492-D492)</f>
        <v/>
      </c>
    </row>
    <row r="493">
      <c r="D493">
        <f>IF(Journal!X493="","",SUM(Journal!$X$2:X493))</f>
        <v/>
      </c>
      <c r="E493">
        <f>IF(D493="","",MAX(0,MAX($D$2:D493)))</f>
        <v/>
      </c>
      <c r="F493">
        <f>IF(D493="","",E493-D493)</f>
        <v/>
      </c>
    </row>
    <row r="494">
      <c r="D494">
        <f>IF(Journal!X494="","",SUM(Journal!$X$2:X494))</f>
        <v/>
      </c>
      <c r="E494">
        <f>IF(D494="","",MAX(0,MAX($D$2:D494)))</f>
        <v/>
      </c>
      <c r="F494">
        <f>IF(D494="","",E494-D494)</f>
        <v/>
      </c>
    </row>
    <row r="495">
      <c r="D495">
        <f>IF(Journal!X495="","",SUM(Journal!$X$2:X495))</f>
        <v/>
      </c>
      <c r="E495">
        <f>IF(D495="","",MAX(0,MAX($D$2:D495)))</f>
        <v/>
      </c>
      <c r="F495">
        <f>IF(D495="","",E495-D495)</f>
        <v/>
      </c>
    </row>
    <row r="496">
      <c r="D496">
        <f>IF(Journal!X496="","",SUM(Journal!$X$2:X496))</f>
        <v/>
      </c>
      <c r="E496">
        <f>IF(D496="","",MAX(0,MAX($D$2:D496)))</f>
        <v/>
      </c>
      <c r="F496">
        <f>IF(D496="","",E496-D496)</f>
        <v/>
      </c>
    </row>
    <row r="497">
      <c r="D497">
        <f>IF(Journal!X497="","",SUM(Journal!$X$2:X497))</f>
        <v/>
      </c>
      <c r="E497">
        <f>IF(D497="","",MAX(0,MAX($D$2:D497)))</f>
        <v/>
      </c>
      <c r="F497">
        <f>IF(D497="","",E497-D497)</f>
        <v/>
      </c>
    </row>
    <row r="498">
      <c r="D498">
        <f>IF(Journal!X498="","",SUM(Journal!$X$2:X498))</f>
        <v/>
      </c>
      <c r="E498">
        <f>IF(D498="","",MAX(0,MAX($D$2:D498)))</f>
        <v/>
      </c>
      <c r="F498">
        <f>IF(D498="","",E498-D498)</f>
        <v/>
      </c>
    </row>
    <row r="499">
      <c r="D499">
        <f>IF(Journal!X499="","",SUM(Journal!$X$2:X499))</f>
        <v/>
      </c>
      <c r="E499">
        <f>IF(D499="","",MAX(0,MAX($D$2:D499)))</f>
        <v/>
      </c>
      <c r="F499">
        <f>IF(D499="","",E499-D499)</f>
        <v/>
      </c>
    </row>
    <row r="500">
      <c r="D500">
        <f>IF(Journal!X500="","",SUM(Journal!$X$2:X500))</f>
        <v/>
      </c>
      <c r="E500">
        <f>IF(D500="","",MAX(0,MAX($D$2:D500)))</f>
        <v/>
      </c>
      <c r="F500">
        <f>IF(D500="","",E500-D500)</f>
        <v/>
      </c>
    </row>
    <row r="501">
      <c r="D501">
        <f>IF(Journal!X501="","",SUM(Journal!$X$2:X501))</f>
        <v/>
      </c>
      <c r="E501">
        <f>IF(D501="","",MAX(0,MAX($D$2:D501)))</f>
        <v/>
      </c>
      <c r="F501">
        <f>IF(D501="","",E501-D501)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1" t="inlineStr">
        <is>
          <t>Quick position sizer, RB v1.1 (Chapter 37)</t>
        </is>
      </c>
    </row>
    <row r="3">
      <c r="A3" t="inlineStr">
        <is>
          <t>Direction (LONG/SHORT)</t>
        </is>
      </c>
      <c r="B3" s="4" t="inlineStr">
        <is>
          <t>LONG</t>
        </is>
      </c>
    </row>
    <row r="4">
      <c r="A4" t="inlineStr">
        <is>
          <t>Signal high</t>
        </is>
      </c>
      <c r="B4" s="4" t="n">
        <v>255.6</v>
      </c>
    </row>
    <row r="5">
      <c r="A5" t="inlineStr">
        <is>
          <t>Signal low</t>
        </is>
      </c>
      <c r="B5" s="4" t="n">
        <v>255.24</v>
      </c>
    </row>
    <row r="6">
      <c r="A6" t="inlineStr">
        <is>
          <t>ATR(14) 5m</t>
        </is>
      </c>
      <c r="B6" s="4" t="n">
        <v>0.37</v>
      </c>
    </row>
    <row r="7">
      <c r="A7" t="inlineStr">
        <is>
          <t>Buffer</t>
        </is>
      </c>
      <c r="B7" s="7">
        <f>MAX(Settings!B7,ROUND(Settings!B8*IF(B3="LONG",B4,B5),2))</f>
        <v/>
      </c>
    </row>
    <row r="8">
      <c r="A8" t="inlineStr">
        <is>
          <t>Entry (E)</t>
        </is>
      </c>
      <c r="B8" s="7">
        <f>IF(B3="LONG",B4+B7,B5-B7)</f>
        <v/>
      </c>
    </row>
    <row r="9">
      <c r="A9" t="inlineStr">
        <is>
          <t>R = MAX(structural, 1 ATR)</t>
        </is>
      </c>
      <c r="B9" s="7">
        <f>ROUNDUP(ROUND(MAX(IF(B3="LONG",B8-B5,B4-B8),Settings!B9*B6),6),2)</f>
        <v/>
      </c>
    </row>
    <row r="10">
      <c r="A10" t="inlineStr">
        <is>
          <t>Stop</t>
        </is>
      </c>
      <c r="B10" s="7">
        <f>IF(B3="LONG",B8-B9,B8+B9)</f>
        <v/>
      </c>
    </row>
    <row r="11">
      <c r="A11" t="inlineStr">
        <is>
          <t>$R</t>
        </is>
      </c>
      <c r="B11" s="7">
        <f>Settings!B11</f>
        <v/>
      </c>
    </row>
    <row r="12">
      <c r="A12" t="inlineStr">
        <is>
          <t>Shares by risk</t>
        </is>
      </c>
      <c r="B12" s="12">
        <f>INT(ROUND(B11/B9,6))</f>
        <v/>
      </c>
    </row>
    <row r="13">
      <c r="A13" t="inlineStr">
        <is>
          <t>Shares by cap</t>
        </is>
      </c>
      <c r="B13" s="12">
        <f>INT(ROUND(Settings!B5/B8,6))</f>
        <v/>
      </c>
    </row>
    <row r="14">
      <c r="A14" s="17" t="inlineStr">
        <is>
          <t>QUANTITY</t>
        </is>
      </c>
      <c r="B14" s="18">
        <f>MIN(B12,B13)</f>
        <v/>
      </c>
    </row>
    <row r="15">
      <c r="A15" t="inlineStr">
        <is>
          <t>Planned $ loss</t>
        </is>
      </c>
      <c r="B15" s="7">
        <f>B14*B9</f>
        <v/>
      </c>
    </row>
    <row r="16">
      <c r="A16" t="inlineStr">
        <is>
          <t>Target (2R)</t>
        </is>
      </c>
      <c r="B16" s="7">
        <f>IF(B3="LONG",B8+Settings!B6*B9,B8-Settings!B6*B9)</f>
        <v/>
      </c>
    </row>
    <row r="17">
      <c r="A17" t="inlineStr">
        <is>
          <t>Position value</t>
        </is>
      </c>
      <c r="B17" s="7">
        <f>B14*B8</f>
        <v/>
      </c>
    </row>
    <row r="19">
      <c r="A19" t="inlineStr">
        <is>
          <t>IBM example: E 255.65, R 0.41, stop 255.24, target 256.47, 78 shares. Check the hard rules first (Chapter 16).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2026-10-29T20:54:13Z</dcterms:created>
  <dcterms:modified xmlns:dcterms="http://purl.org/dc/terms/" xmlns:xsi="http://www.w3.org/2001/XMLSchema-instance" xsi:type="dcterms:W3CDTF">2026-10-29T20:54:13Z</dcterms:modified>
</cp:coreProperties>
</file>